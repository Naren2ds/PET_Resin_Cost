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nheuserbuschinbev-my.sharepoint.com/personal/narendhrakumar_murugan_ab-inbev_com/Documents/GAC/PET/Data Model/PET_Data_Model/mapping files/"/>
    </mc:Choice>
  </mc:AlternateContent>
  <xr:revisionPtr revIDLastSave="188" documentId="8_{E031BCFF-A74D-4B16-B76B-CC9E3B064E05}" xr6:coauthVersionLast="47" xr6:coauthVersionMax="47" xr10:uidLastSave="{3CC2F8AB-75E9-4B27-9584-D851E60ED3A3}"/>
  <bookViews>
    <workbookView xWindow="-110" yWindow="-110" windowWidth="19420" windowHeight="11500" xr2:uid="{C209297F-7080-4CD8-B207-9BCE1EA35D2E}"/>
  </bookViews>
  <sheets>
    <sheet name="Pricing formula_Updated" sheetId="6" r:id="rId1"/>
    <sheet name="Pricing formula overview" sheetId="2" r:id="rId2"/>
    <sheet name="Queries" sheetId="4" r:id="rId3"/>
    <sheet name="Formula description" sheetId="3" r:id="rId4"/>
    <sheet name="Volume by countries" sheetId="1" r:id="rId5"/>
    <sheet name="Sheet2"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6" l="1"/>
  <c r="E19" i="2" l="1"/>
  <c r="H22" i="1" l="1"/>
</calcChain>
</file>

<file path=xl/sharedStrings.xml><?xml version="1.0" encoding="utf-8"?>
<sst xmlns="http://schemas.openxmlformats.org/spreadsheetml/2006/main" count="427" uniqueCount="206">
  <si>
    <t>Country</t>
  </si>
  <si>
    <t>vPET Ton</t>
  </si>
  <si>
    <t>rPET Ton</t>
  </si>
  <si>
    <t>Total PET</t>
  </si>
  <si>
    <t>% rPET</t>
  </si>
  <si>
    <t>rPET ton</t>
  </si>
  <si>
    <t>vPET ton</t>
  </si>
  <si>
    <t>Total ton</t>
  </si>
  <si>
    <t>Colombia</t>
  </si>
  <si>
    <t>73.2%</t>
  </si>
  <si>
    <t>50.0%</t>
  </si>
  <si>
    <t>5,670.2</t>
  </si>
  <si>
    <t>Peru</t>
  </si>
  <si>
    <t>53.1%</t>
  </si>
  <si>
    <t>15.0%</t>
  </si>
  <si>
    <t>730.5</t>
  </si>
  <si>
    <t>Ecuador</t>
  </si>
  <si>
    <t>52.8%</t>
  </si>
  <si>
    <t>25.0%</t>
  </si>
  <si>
    <t>283.5</t>
  </si>
  <si>
    <t>Honduras</t>
  </si>
  <si>
    <t>37.1%</t>
  </si>
  <si>
    <t>4,363.6</t>
  </si>
  <si>
    <t>El Salvador</t>
  </si>
  <si>
    <t>35.7%</t>
  </si>
  <si>
    <t>2,318.6</t>
  </si>
  <si>
    <t>Panama</t>
  </si>
  <si>
    <t>22.9%</t>
  </si>
  <si>
    <t>229.5</t>
  </si>
  <si>
    <t>R. Dominican</t>
  </si>
  <si>
    <t>25.4%</t>
  </si>
  <si>
    <t>644.1</t>
  </si>
  <si>
    <t xml:space="preserve">MAZ </t>
  </si>
  <si>
    <t>47.6%</t>
  </si>
  <si>
    <t>28.5%</t>
  </si>
  <si>
    <t>14,239.92</t>
  </si>
  <si>
    <t>LE 7+5</t>
  </si>
  <si>
    <t>Brazil</t>
  </si>
  <si>
    <t>56.6%</t>
  </si>
  <si>
    <t>40.0%</t>
  </si>
  <si>
    <t>33,572.4</t>
  </si>
  <si>
    <t>Argentina</t>
  </si>
  <si>
    <t>4.0%</t>
  </si>
  <si>
    <t>0.0%</t>
  </si>
  <si>
    <t>0.0</t>
  </si>
  <si>
    <t>Uruguay</t>
  </si>
  <si>
    <t>30.1%</t>
  </si>
  <si>
    <t>614.4</t>
  </si>
  <si>
    <t>Bolivia</t>
  </si>
  <si>
    <t>30.0%</t>
  </si>
  <si>
    <t>1,082.7</t>
  </si>
  <si>
    <t>SAZ</t>
  </si>
  <si>
    <t>45.1%</t>
  </si>
  <si>
    <t>31.8%</t>
  </si>
  <si>
    <t>35,269.50</t>
  </si>
  <si>
    <t>Nigeria</t>
  </si>
  <si>
    <t>0.00</t>
  </si>
  <si>
    <t>Koera</t>
  </si>
  <si>
    <t>6.0%</t>
  </si>
  <si>
    <t>1,369.00</t>
  </si>
  <si>
    <t>ABINBEV</t>
  </si>
  <si>
    <t>44.3%</t>
  </si>
  <si>
    <t>30.4%</t>
  </si>
  <si>
    <t>50,878.42</t>
  </si>
  <si>
    <t>Countries</t>
  </si>
  <si>
    <t xml:space="preserve">Supplier </t>
  </si>
  <si>
    <t>vPET Resin pricing adjustment formula</t>
  </si>
  <si>
    <t>Forumla description</t>
  </si>
  <si>
    <t>Amcor</t>
  </si>
  <si>
    <t>-The virgin PET resin component price (per ton) is calculated using the same formula as set forth in the Prior Supply Agreement, except the finance fee will be calculated as follows</t>
  </si>
  <si>
    <t>-Index: ICIS PET China MID (N-2) USD/ton 
-Freight: Spot Market Pass Thru
-Customs Clearance Cost: 4,6% (Insurance 0,1% + Foreign exchange exit tax 4% + Others (0,5%)). 
-Adjustments according to local government regulations.
-Customs Clearance Fixed: 24,6/ton. Adjustments according to local government regulations. 
-Local Freight: USD 30/ton, fixed during contract.
Scrap: CSD 1.0%</t>
  </si>
  <si>
    <t xml:space="preserve">Peru </t>
  </si>
  <si>
    <t>San Miguel Industrias (SMI)</t>
  </si>
  <si>
    <t>PET Resin USD/Ton = (ICIS+OF)*(1+IT)+CC</t>
  </si>
  <si>
    <t>-ICIS: FOB resin price according to the ICIS Asia SE Low index of the previous month.
- OF: Ocean freight cost which will remain fixed with the following values:
o Peru: 161 USD/Ton
These values will be adjusted only if the Drewry Index "Shanghai - Callao" from the month n-3, expressed 
in USD/TM is greater than USD 180/TM. In this case, the ocean freight value will be equal to the Drewry 
Index from the month n-3 divided by 22 + 25 USD/TM 
- IT: Import Tax, currently set in 0%. The import tax will be adjusted if there is any variation. 
- CC: Customs Clearence cost, which includes the expenses at port and the inland freight to Supplier’s 
facilities. It will remain fixed with the following values: Peru: 35 USD/Ton
These values will be adjusted in case the real costs increase by 20% over the fixed prices.</t>
  </si>
  <si>
    <t>El salvador and Honduras</t>
  </si>
  <si>
    <t>Domnican republic</t>
  </si>
  <si>
    <t xml:space="preserve">SMI PET </t>
  </si>
  <si>
    <t>- ICIS: FOB resin price according to the ICIS Asia SE Low index of the previous month.
- OF: Ocean freight cost which will remain fixed with the following values:
o Peru: 161 USD/Ton
o El Salvador: 195 USD/Ton
These values will be adjusted only if the Drewry Index "Shanghai - Callao" from the month n-3, expressed 
in USD/TM is greater than USD 180/TM. In this case, the ocean freight value will be equal to the Drewry 
Index from the month n-3 divided by 22 + 25 USD/TM 
- IT: Import Tax, currently set in 0%. The import tax will be adjusted if there is any variation. 
- CC: Customs Clearence cost, which includes the expenses at port and the inland freight to Supplier’s 
facilities. It will remain fixed with the following values:
o Peru: 35 USD/Ton
o El Salvador: 64 USD/Ton
These values will be adjusted in case the real costs increase by 20% over the fixed prices.C8</t>
  </si>
  <si>
    <t>Cristalpet</t>
  </si>
  <si>
    <t>Virgin Resin (USD/ton): 
[IHS Approved (M-1) + Drewry Maritime Research (M-1) (21 TON/container) + 30 U$S/TON + Other Costs 50U$/TON)] 
* Internalization Cost (1+12,07%)</t>
  </si>
  <si>
    <t>Pastiglas S.A</t>
  </si>
  <si>
    <t>Index</t>
  </si>
  <si>
    <t>Freight</t>
  </si>
  <si>
    <t>Customs clearance</t>
  </si>
  <si>
    <t>ICIS PET China MID (M-1) USD/ton</t>
  </si>
  <si>
    <t>Index: ICIS PET China MID (N-2) USD/ton</t>
  </si>
  <si>
    <t>Scrap</t>
  </si>
  <si>
    <t>CSD 1.0%</t>
  </si>
  <si>
    <t>Int.Freight - Drewry (The three month  Average</t>
  </si>
  <si>
    <r>
      <rPr>
        <b/>
        <sz val="11"/>
        <color theme="1"/>
        <rFont val="Aptos Narrow"/>
        <family val="2"/>
        <scheme val="minor"/>
      </rPr>
      <t xml:space="preserve">Variable: </t>
    </r>
    <r>
      <rPr>
        <sz val="11"/>
        <color theme="1"/>
        <rFont val="Aptos Narrow"/>
        <family val="2"/>
        <scheme val="minor"/>
      </rPr>
      <t xml:space="preserve">4,6% (Insurance 0,1% + Foreign exchange exit tax 4% + Others (0,5%)). 
</t>
    </r>
    <r>
      <rPr>
        <b/>
        <sz val="11"/>
        <color theme="1"/>
        <rFont val="Aptos Narrow"/>
        <family val="2"/>
        <scheme val="minor"/>
      </rPr>
      <t>Fixed:</t>
    </r>
    <r>
      <rPr>
        <sz val="11"/>
        <color theme="1"/>
        <rFont val="Aptos Narrow"/>
        <family val="2"/>
        <scheme val="minor"/>
      </rPr>
      <t xml:space="preserve"> 24,6/ton</t>
    </r>
  </si>
  <si>
    <t>ICIS Asia SE Low index</t>
  </si>
  <si>
    <t>ICIS Asia SE Low index of the previous month.</t>
  </si>
  <si>
    <t xml:space="preserve">[IHS Approved (M-1) </t>
  </si>
  <si>
    <t>Korea</t>
  </si>
  <si>
    <t>Import Tax currently set in 0%</t>
  </si>
  <si>
    <t>-</t>
  </si>
  <si>
    <t>CC cost (includes expenses at port and the inland freight to supplier's)</t>
  </si>
  <si>
    <t>No contract (Resin formula unknown)</t>
  </si>
  <si>
    <t>Resin= [(Index+Freight+FC)+Dumping rate + Duty + Statistical rate+Country tax+ Inland cost+ W&amp;H cost]</t>
  </si>
  <si>
    <t xml:space="preserve">- Index: ICIS Asia Avg 4 Region; Low (n-2)
Freight: Monthly Drewry Asia - Buenos aires based on the actual Asia- Buenos aires value at the start of the formula
Free carrier (FC): 1- yead SOFR rate+ 2.5% x 180 days x (FOB+Freight)
Duty: Actual value (12.6% Buenos Aires; 0% Ushuaia)
Statistical rate: 3% Buenos Aires; 0% Ushaia
Dumping rate: Actual value - current sumping rates (Only oman 8% currently)
Inland cost: 107 USD/tn +1,1% CIF (Port to Door)- Buenos Aires; 86 USD /tn +0,85% CIF (Port to Door) - Ushuaia
W&amp;H cost - Warehousing and handling cost-: Fixed 45 USD/ton
Note: If the Resin is Heat set, 30 USD/MT added to the FOB value (Differentiation made by Asian resin supplier
</t>
  </si>
  <si>
    <t>vPET Resin Volume in ton</t>
  </si>
  <si>
    <t>-Index: ICIS PET China MID (M-1) USD/ton
-Freight: Drewry (the three-month rolling average calculated based on the most recent three published 
monthly values) + 20 USD/ton if Manaus
-Tax: According to updates of Brazilian Law, starting with 20.8%
-Others: Surcharge + Adder: 167 USD/ton, fixed during contract
Scrap:
Gatorade Preforms &amp; CSD: 0.5%
Gatorade Bottles: 1%</t>
  </si>
  <si>
    <t>Resin: [(Index + Int. Freight) x (1+Tax) + Others + Scrap]</t>
  </si>
  <si>
    <t>Valgroup</t>
  </si>
  <si>
    <t>Resin: {[Index x (1 – Discount) + Int. Freight] x (Tax + Internalization Costs) + Surcharge}</t>
  </si>
  <si>
    <t>Index: ICIS ASIA SE Low (M-1) with the following premises:
If ICIS Asia 5R Mid is &gt; USD 75/ton than ICIS Asia SE Low, we apply ICIS Asia 5R Mid minus USD 75/ton
(cap);
If ICIS Asia SE Low is &gt; ICIS Asia 5R Mid, we apply ICIS Asia 5R Mid
Valgroup will report and share the differences between ICIS Asia SE Low and ICIS Asia 5 Regions, within 
the monthly price update.
If any of above premisses persists for more than 6 consecutive months, the parties may negotiate in good 
faith for flexibility to update a more accurate Price Formula. 
The ICIS Asia 5 Regions is an average of the 5 indexes bellow: 
FOB South Korea; FOB Taiwan; FOB China; FOB Asia SE; FOB India
Discount Index: Valgroup RJ 2.5%, Valgroup PE 4% and Valgroup MG 1%
Freight: Drewry report index, considering the price from the port of Shanghai to Santos (the three-month 
rolling average calculated based on the most recent three published monthly values) – Discount
In case Drewry is below USD 100/ton, we apply USD 100/ton, if no other surcharges is added to the original 
PAF of these contract. (Maintaining only the original surcharge described in the PAF).
Tax: According to Brazilian Law
Internalization Costs: 6%, fixed during contract.
Surcharge: 85 USD/ton, fixed during contract
In the event that resin suppliers announce any reduction or increasing in prices or surcharges previously 
incorporated into this Contract, such impact shall be promptly and proportionally reflected in the prices 
applicable to this Agreement, not applied to freight.</t>
  </si>
  <si>
    <t>Resin: [(Index + Int. Freight) x (1+Tax) + Others + Scrap] (Assumption from pricing file)</t>
  </si>
  <si>
    <t>Resin cost:Quarterly Resin index average price+ Resin freight cost+ Resin financing cost
Finance cost Virgin PET-(Libor Rate 12 Months + 2.5%) ÷ 365 × 210 × (IHS virgin PET index price + virgin PET freight cost)</t>
  </si>
  <si>
    <t>No contract</t>
  </si>
  <si>
    <t>PET Resin= ((HIS + Maritime freight)(1+%insurance+%Finance cost+%Foreign Transactions))+Importation cost)*0,7</t>
  </si>
  <si>
    <t>Index: HIS-1 Indocador en USD/Ton
Maritime frieght: 120 USD/tonn quarterly review based on the drewry index pacific coast - arica.lquique
Importation cost : 123 (fixed)
3.3% finance cost and 1 % insurance fixed</t>
  </si>
  <si>
    <t>PET Resin = Resin% * IHS(3 months average) * (1+Importation Cost) + Nylon% * Nylon Cost + Color% * Color Cost</t>
  </si>
  <si>
    <t>Maritime freight: Drewry Maritime Research (M-1) + 30 USD
(China – Sao Paulo + adjustment 30 USD Sao Paulo / Montevideo
Internalization cost: 12.07%</t>
  </si>
  <si>
    <t>PET Resin: {[(Index + Int. Freight) x (1 + % Customs Clearance Cost)] + Customs Clearance Fixed + Local Freight + Scrap}</t>
  </si>
  <si>
    <t>Tax</t>
  </si>
  <si>
    <t>others</t>
  </si>
  <si>
    <t>Gatorade Preforms &amp; CSD: 0.5%
Gatorade Bottles: 1%</t>
  </si>
  <si>
    <t xml:space="preserve"> ICIS ASIA SE Low (M-1)</t>
  </si>
  <si>
    <t>According to Brazilian law</t>
  </si>
  <si>
    <t>Internalization cost</t>
  </si>
  <si>
    <t>ICIS Asia Avg 4 Region; Low (n-2)</t>
  </si>
  <si>
    <t>Monthly Drewry Asia + FC (1- yead SOFR rate+ 2.5% x 180 days x (FOB+Freight))</t>
  </si>
  <si>
    <t>Country tax -17,5%</t>
  </si>
  <si>
    <t>Country based tax</t>
  </si>
  <si>
    <t>IHS virgin PET index price</t>
  </si>
  <si>
    <t>Resin freight cost</t>
  </si>
  <si>
    <t>120 USD/tonn quarterly review based on the drewry</t>
  </si>
  <si>
    <t>PET Resin= ((IHS + Maritime freight)(1+%insurance+%Finance cost+%Foreign Transfer))+Importation cost)</t>
  </si>
  <si>
    <t>% insurance</t>
  </si>
  <si>
    <t>% finance cost</t>
  </si>
  <si>
    <t xml:space="preserve">% foreign cost </t>
  </si>
  <si>
    <t>Importation cost</t>
  </si>
  <si>
    <t>Drewry Maritime Research (M-1) (21 TON/container) + 30 USD</t>
  </si>
  <si>
    <t>50USD/Ton</t>
  </si>
  <si>
    <t>Fixed Ocean freight:
Peru :161 USD/ton
El Salvador: 195 USD/Ton
Variable: if the fixed OF &lt;= 180 USD/ton of drewry</t>
  </si>
  <si>
    <t>Fixed Ocean freight: 
Peru: 161 USD/Ton
Value will be adjusted if there is a variation over 180 USD/MT</t>
  </si>
  <si>
    <t>Other cost to formula</t>
  </si>
  <si>
    <t xml:space="preserve"> 85 USD/ton, fixed</t>
  </si>
  <si>
    <r>
      <t xml:space="preserve">Resin: [(Index + Int. Freight) x (1+Tax) + Others + Scrap] </t>
    </r>
    <r>
      <rPr>
        <sz val="11"/>
        <color theme="8" tint="0.39997558519241921"/>
        <rFont val="Aptos Narrow"/>
        <family val="2"/>
        <scheme val="minor"/>
      </rPr>
      <t>(Assumption from pricing file)</t>
    </r>
  </si>
  <si>
    <t>IHS Indocador en USD/Ton</t>
  </si>
  <si>
    <t>IHS 3 months average</t>
  </si>
  <si>
    <t>Nylon %</t>
  </si>
  <si>
    <t>Nylon cost</t>
  </si>
  <si>
    <t xml:space="preserve">Colour cost </t>
  </si>
  <si>
    <t>Colour %</t>
  </si>
  <si>
    <t>Gestora, Administradora e Industrializadora Preformas S.A.</t>
  </si>
  <si>
    <t>6%, fixed during contract</t>
  </si>
  <si>
    <t>Discount:Valgroup RJ 2.5%, Valgroup PE 4% and Valgroup MG 1</t>
  </si>
  <si>
    <t>1% over the total price of vPET + rPET.</t>
  </si>
  <si>
    <t>12,07% Fixed</t>
  </si>
  <si>
    <t>(Libor Rate 12 Months + 2.5%) ÷ 365 × 210 × (IHS virgin PET index price + virgin PET freight cost)</t>
  </si>
  <si>
    <t>Dumping rate- 0%</t>
  </si>
  <si>
    <t>Duty: 12,6 % (Buenos Aires; 0% Ushuaua</t>
  </si>
  <si>
    <t>Statistical rate:3%</t>
  </si>
  <si>
    <r>
      <rPr>
        <b/>
        <sz val="11"/>
        <color theme="1"/>
        <rFont val="Aptos Narrow"/>
        <family val="2"/>
        <scheme val="minor"/>
      </rPr>
      <t>Fixed:</t>
    </r>
    <r>
      <rPr>
        <sz val="11"/>
        <color theme="1"/>
        <rFont val="Aptos Narrow"/>
        <family val="2"/>
        <scheme val="minor"/>
      </rPr>
      <t xml:space="preserve"> Peru: 35 USD/Ton
The values are adjusted if the real cost increase by 20% over the fixed prices
( includes expenses at port and inland freight to supplier)</t>
    </r>
  </si>
  <si>
    <r>
      <t xml:space="preserve">Spot Market Pass Thru
</t>
    </r>
    <r>
      <rPr>
        <b/>
        <sz val="11"/>
        <color theme="1"/>
        <rFont val="Aptos Narrow"/>
        <family val="2"/>
        <scheme val="minor"/>
      </rPr>
      <t xml:space="preserve">Local freight </t>
    </r>
    <r>
      <rPr>
        <sz val="11"/>
        <color theme="1"/>
        <rFont val="Aptos Narrow"/>
        <family val="2"/>
        <scheme val="minor"/>
      </rPr>
      <t>30USD/ton fixed</t>
    </r>
  </si>
  <si>
    <r>
      <rPr>
        <b/>
        <sz val="11"/>
        <color theme="1"/>
        <rFont val="Aptos Narrow"/>
        <family val="2"/>
        <scheme val="minor"/>
      </rPr>
      <t xml:space="preserve">Inland cost: </t>
    </r>
    <r>
      <rPr>
        <sz val="11"/>
        <color theme="1"/>
        <rFont val="Aptos Narrow"/>
        <family val="2"/>
        <scheme val="minor"/>
      </rPr>
      <t xml:space="preserve">86 USD/Ton +0,85% CIF (Port to door
</t>
    </r>
    <r>
      <rPr>
        <b/>
        <sz val="11"/>
        <color theme="1"/>
        <rFont val="Aptos Narrow"/>
        <family val="2"/>
        <scheme val="minor"/>
      </rPr>
      <t xml:space="preserve">W&amp;H cost: </t>
    </r>
    <r>
      <rPr>
        <sz val="11"/>
        <color theme="1"/>
        <rFont val="Aptos Narrow"/>
        <family val="2"/>
        <scheme val="minor"/>
      </rPr>
      <t>45 USD/ tonne</t>
    </r>
  </si>
  <si>
    <r>
      <rPr>
        <b/>
        <sz val="11"/>
        <color theme="1"/>
        <rFont val="Aptos Narrow"/>
        <family val="2"/>
        <scheme val="minor"/>
      </rPr>
      <t>Surcharge + Adder:</t>
    </r>
    <r>
      <rPr>
        <sz val="11"/>
        <color theme="1"/>
        <rFont val="Aptos Narrow"/>
        <family val="2"/>
        <scheme val="minor"/>
      </rPr>
      <t xml:space="preserve"> 167 USD/ton, fixed </t>
    </r>
  </si>
  <si>
    <r>
      <rPr>
        <b/>
        <sz val="11"/>
        <color theme="1"/>
        <rFont val="Aptos Narrow"/>
        <family val="2"/>
        <scheme val="minor"/>
      </rPr>
      <t>Handling fee:</t>
    </r>
    <r>
      <rPr>
        <sz val="11"/>
        <color theme="1"/>
        <rFont val="Aptos Narrow"/>
        <family val="2"/>
        <scheme val="minor"/>
      </rPr>
      <t>0,02/lb USD</t>
    </r>
  </si>
  <si>
    <r>
      <t xml:space="preserve">Resin cost:Quarterly Resin index average price+ Resin freight cost+ Resin financing cost </t>
    </r>
    <r>
      <rPr>
        <sz val="11"/>
        <color theme="8" tint="0.39997558519241921"/>
        <rFont val="Aptos Narrow"/>
        <family val="2"/>
        <scheme val="minor"/>
      </rPr>
      <t>(Assumption based on rPET formula)</t>
    </r>
    <r>
      <rPr>
        <sz val="11"/>
        <color theme="1"/>
        <rFont val="Aptos Narrow"/>
        <family val="2"/>
        <scheme val="minor"/>
      </rPr>
      <t xml:space="preserve">
</t>
    </r>
  </si>
  <si>
    <t>vPET Resin pricing formula</t>
  </si>
  <si>
    <t>pricing formula components</t>
  </si>
  <si>
    <t>vPET Resin USD/Ton = (ICIS+OF)*(1+IT)+CC</t>
  </si>
  <si>
    <t>vPET Resin = Resin% * IHS(3 months average) * (1+Importation Cost) + Nylon% * Nylon Cost + Color% * Color Cost</t>
  </si>
  <si>
    <t>vPET Resin Volume in Metric ton</t>
  </si>
  <si>
    <t xml:space="preserve">Pricing Sheet </t>
  </si>
  <si>
    <t>1 Bavaria - Precio Marzo</t>
  </si>
  <si>
    <t xml:space="preserve">Desitnation Country </t>
  </si>
  <si>
    <t xml:space="preserve">Sourcing country </t>
  </si>
  <si>
    <t>3 Precios AB Inbev_Abril 26 ECUADOR</t>
  </si>
  <si>
    <t>04. Amcor</t>
  </si>
  <si>
    <t>Precios preformas FNC abril 2026</t>
  </si>
  <si>
    <t xml:space="preserve">Sourcing Country </t>
  </si>
  <si>
    <t xml:space="preserve">China </t>
  </si>
  <si>
    <t>Engepack</t>
  </si>
  <si>
    <t>04. Cristalpet</t>
  </si>
  <si>
    <t>04. Engepack</t>
  </si>
  <si>
    <t>04. Valgroup</t>
  </si>
  <si>
    <t xml:space="preserve">Supplier 4 Different For Brazil </t>
  </si>
  <si>
    <t>Pricing_Pref_ABI_PAN_Men_04_26_Cliente</t>
  </si>
  <si>
    <t>Pricing_Pref-Bot_ABI_PER_Men_4_26_Cliente</t>
  </si>
  <si>
    <t>Pricing_Pref_ABI_RD_Men_4_26_Cliente</t>
  </si>
  <si>
    <t xml:space="preserve">Destination Country </t>
  </si>
  <si>
    <t xml:space="preserve">Brazil </t>
  </si>
  <si>
    <t xml:space="preserve">Market Research </t>
  </si>
  <si>
    <t xml:space="preserve">Argentina </t>
  </si>
  <si>
    <t xml:space="preserve">Suppliers </t>
  </si>
  <si>
    <t xml:space="preserve">Valpack </t>
  </si>
  <si>
    <t>China ($ 899)</t>
  </si>
  <si>
    <t>Brazil ($900)</t>
  </si>
  <si>
    <t>Amcor ($ 890)</t>
  </si>
  <si>
    <t xml:space="preserve">Formuale Reference </t>
  </si>
  <si>
    <t xml:space="preserve">Sheet name : ABR.26 , U2:V13 </t>
  </si>
  <si>
    <t xml:space="preserve">sheet Name : Índices 2025-26-27 , B2:N8 </t>
  </si>
  <si>
    <t>Sell_Side_2026-ABI Mar 2026</t>
  </si>
  <si>
    <t xml:space="preserve">sheet name : "ICIS Price History , I13 Q217 </t>
  </si>
  <si>
    <t xml:space="preserve">Inputs G6 : H12 </t>
  </si>
  <si>
    <t>Sheet : Formula Virgen , A3: AT18</t>
  </si>
  <si>
    <t xml:space="preserve">Status </t>
  </si>
  <si>
    <t>Completed</t>
  </si>
  <si>
    <t xml:space="preserve">Int.Freight - Drewry (The three month  Average , if not available make the existing constant </t>
  </si>
  <si>
    <t xml:space="preserve">sheet Name : Indices : B2:AT5  &amp; AT26 (Freight) * Remove Fx for $ </t>
  </si>
  <si>
    <t xml:space="preserve">1. Alpek : Suape B5 : N12  - Resina
2. Alpel Manuas B29 : N36 </t>
  </si>
  <si>
    <t>ABI 120326 -Pricing Marzo 2026</t>
  </si>
  <si>
    <t xml:space="preserve">Sheet name : CSD Resina Ush  , B2 : U61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</si>
</sst>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Times New Roman"/>
      <family val="1"/>
    </font>
    <font>
      <sz val="8"/>
      <color rgb="FF000000"/>
      <name val="Calibri"/>
      <family val="2"/>
    </font>
    <font>
      <sz val="9"/>
      <color rgb="FF000000"/>
      <name val="Calibri"/>
      <family val="2"/>
    </font>
    <font>
      <b/>
      <sz val="8"/>
      <color rgb="FF000000"/>
      <name val="Calibri"/>
      <family val="2"/>
    </font>
    <font>
      <b/>
      <sz val="9"/>
      <color rgb="FF000000"/>
      <name val="Calibri"/>
      <family val="2"/>
    </font>
    <font>
      <sz val="11"/>
      <color theme="8" tint="0.39997558519241921"/>
      <name val="Aptos Narrow"/>
      <family val="2"/>
      <scheme val="minor"/>
    </font>
  </fonts>
  <fills count="13">
    <fill>
      <patternFill patternType="none"/>
    </fill>
    <fill>
      <patternFill patternType="gray125"/>
    </fill>
    <fill>
      <patternFill patternType="solid">
        <fgColor rgb="FFD9D9D9"/>
        <bgColor indexed="64"/>
      </patternFill>
    </fill>
    <fill>
      <patternFill patternType="solid">
        <fgColor rgb="FFFFFFFF"/>
        <bgColor indexed="64"/>
      </patternFill>
    </fill>
    <fill>
      <patternFill patternType="solid">
        <fgColor rgb="FFF2F2F2"/>
        <bgColor indexed="64"/>
      </patternFill>
    </fill>
    <fill>
      <patternFill patternType="solid">
        <fgColor rgb="FFBFBFBF"/>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3" tint="0.89999084444715716"/>
        <bgColor indexed="64"/>
      </patternFill>
    </fill>
    <fill>
      <patternFill patternType="solid">
        <fgColor theme="9" tint="0.59999389629810485"/>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164" fontId="1" fillId="0" borderId="0" applyFont="0" applyFill="0" applyBorder="0" applyAlignment="0" applyProtection="0"/>
  </cellStyleXfs>
  <cellXfs count="71">
    <xf numFmtId="0" fontId="0" fillId="0" borderId="0" xfId="0"/>
    <xf numFmtId="0" fontId="4"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3" fillId="0" borderId="1" xfId="0" applyFont="1" applyBorder="1" applyAlignment="1">
      <alignment vertical="center"/>
    </xf>
    <xf numFmtId="2" fontId="6" fillId="5" borderId="1" xfId="0" applyNumberFormat="1" applyFont="1" applyFill="1" applyBorder="1" applyAlignment="1">
      <alignment horizontal="center" vertical="center"/>
    </xf>
    <xf numFmtId="0" fontId="0" fillId="0" borderId="1" xfId="0" applyBorder="1"/>
    <xf numFmtId="0" fontId="0" fillId="0" borderId="1" xfId="0" applyBorder="1" applyAlignment="1">
      <alignment vertical="center"/>
    </xf>
    <xf numFmtId="0" fontId="0" fillId="0" borderId="1" xfId="0" quotePrefix="1" applyBorder="1" applyAlignment="1">
      <alignment wrapText="1"/>
    </xf>
    <xf numFmtId="0" fontId="0" fillId="0" borderId="1" xfId="0" applyBorder="1" applyAlignment="1">
      <alignment vertical="center" wrapText="1"/>
    </xf>
    <xf numFmtId="0" fontId="0" fillId="0" borderId="1" xfId="0" quotePrefix="1" applyBorder="1" applyAlignment="1">
      <alignment vertical="center" wrapText="1"/>
    </xf>
    <xf numFmtId="0" fontId="2" fillId="6" borderId="1" xfId="0" applyFont="1" applyFill="1" applyBorder="1"/>
    <xf numFmtId="0" fontId="2" fillId="6" borderId="1" xfId="0" applyFont="1" applyFill="1" applyBorder="1" applyAlignment="1">
      <alignment vertical="center"/>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vertical="center"/>
    </xf>
    <xf numFmtId="2" fontId="4" fillId="3" borderId="1" xfId="0" applyNumberFormat="1" applyFont="1" applyFill="1" applyBorder="1" applyAlignment="1">
      <alignment horizontal="center" vertical="center"/>
    </xf>
    <xf numFmtId="2" fontId="4" fillId="4" borderId="1" xfId="0" applyNumberFormat="1" applyFont="1" applyFill="1" applyBorder="1" applyAlignment="1">
      <alignment horizontal="center" vertical="center"/>
    </xf>
    <xf numFmtId="2" fontId="4" fillId="0" borderId="1" xfId="0" applyNumberFormat="1" applyFont="1" applyBorder="1" applyAlignment="1">
      <alignment horizontal="center" vertical="center"/>
    </xf>
    <xf numFmtId="2" fontId="3" fillId="0" borderId="1" xfId="0" applyNumberFormat="1" applyFont="1" applyBorder="1" applyAlignment="1">
      <alignment vertical="center"/>
    </xf>
    <xf numFmtId="2" fontId="4" fillId="2" borderId="1" xfId="0" applyNumberFormat="1" applyFont="1" applyFill="1" applyBorder="1" applyAlignment="1">
      <alignment horizontal="center" vertical="center" wrapText="1"/>
    </xf>
    <xf numFmtId="2" fontId="0" fillId="0" borderId="0" xfId="0" applyNumberFormat="1"/>
    <xf numFmtId="0" fontId="2" fillId="6" borderId="1" xfId="0" applyFont="1"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0" fillId="7" borderId="1" xfId="0" quotePrefix="1" applyFill="1" applyBorder="1" applyAlignment="1">
      <alignment horizontal="center" vertical="center"/>
    </xf>
    <xf numFmtId="0" fontId="0" fillId="0" borderId="3" xfId="0" applyBorder="1" applyAlignment="1">
      <alignment horizontal="center" vertical="center" wrapText="1"/>
    </xf>
    <xf numFmtId="0" fontId="0" fillId="8" borderId="0" xfId="0" applyFill="1" applyAlignment="1">
      <alignment horizontal="center" vertical="center"/>
    </xf>
    <xf numFmtId="10" fontId="0" fillId="0" borderId="1" xfId="0" applyNumberFormat="1" applyBorder="1" applyAlignment="1">
      <alignment horizontal="center" vertical="center"/>
    </xf>
    <xf numFmtId="165" fontId="0" fillId="0" borderId="1" xfId="1" applyNumberFormat="1" applyFont="1" applyBorder="1" applyAlignment="1">
      <alignment horizontal="center" vertical="center"/>
    </xf>
    <xf numFmtId="1" fontId="4" fillId="2" borderId="1" xfId="0" applyNumberFormat="1" applyFont="1" applyFill="1" applyBorder="1" applyAlignment="1">
      <alignment horizontal="center" vertical="center" wrapText="1"/>
    </xf>
    <xf numFmtId="0" fontId="4"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8" borderId="1" xfId="0" applyFill="1" applyBorder="1" applyAlignment="1">
      <alignment horizontal="center" vertical="center"/>
    </xf>
    <xf numFmtId="0" fontId="0" fillId="11" borderId="6" xfId="0" applyFill="1" applyBorder="1" applyAlignment="1">
      <alignment horizontal="center" vertical="center"/>
    </xf>
    <xf numFmtId="0" fontId="0" fillId="11" borderId="1" xfId="0" applyFill="1" applyBorder="1" applyAlignment="1">
      <alignment horizontal="center" vertical="center"/>
    </xf>
    <xf numFmtId="165" fontId="0" fillId="0" borderId="7" xfId="1" applyNumberFormat="1" applyFont="1" applyBorder="1" applyAlignment="1">
      <alignment horizontal="center" vertical="center"/>
    </xf>
    <xf numFmtId="0" fontId="2" fillId="11" borderId="6" xfId="0" applyFont="1" applyFill="1" applyBorder="1" applyAlignment="1">
      <alignment horizontal="center" vertical="center"/>
    </xf>
    <xf numFmtId="0" fontId="2" fillId="10" borderId="1" xfId="0" applyFont="1" applyFill="1" applyBorder="1" applyAlignment="1">
      <alignment horizontal="center" vertical="center"/>
    </xf>
    <xf numFmtId="0" fontId="0" fillId="11" borderId="8" xfId="0" applyFill="1" applyBorder="1" applyAlignment="1">
      <alignment horizontal="center" vertical="center"/>
    </xf>
    <xf numFmtId="165" fontId="0" fillId="8" borderId="0" xfId="0" applyNumberFormat="1" applyFill="1" applyAlignment="1">
      <alignment horizontal="center" vertical="center"/>
    </xf>
    <xf numFmtId="0" fontId="0" fillId="11" borderId="1" xfId="0" applyFill="1" applyBorder="1" applyAlignment="1">
      <alignment horizontal="center" vertical="center" wrapText="1"/>
    </xf>
    <xf numFmtId="0" fontId="0" fillId="9" borderId="1" xfId="0" applyFill="1" applyBorder="1" applyAlignment="1">
      <alignment horizontal="center" vertical="center"/>
    </xf>
    <xf numFmtId="0" fontId="0" fillId="9" borderId="6" xfId="0" applyFill="1" applyBorder="1" applyAlignment="1">
      <alignment horizontal="center" vertical="center"/>
    </xf>
    <xf numFmtId="0" fontId="0" fillId="12" borderId="1" xfId="0" applyFill="1" applyBorder="1" applyAlignment="1">
      <alignment horizontal="center" vertical="center" wrapText="1"/>
    </xf>
    <xf numFmtId="0" fontId="0" fillId="0" borderId="2"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11" borderId="6" xfId="0" applyFill="1" applyBorder="1" applyAlignment="1">
      <alignment horizontal="center" vertical="center"/>
    </xf>
    <xf numFmtId="0" fontId="0" fillId="11" borderId="8" xfId="0" applyFill="1" applyBorder="1" applyAlignment="1">
      <alignment horizontal="center" vertical="center"/>
    </xf>
    <xf numFmtId="0" fontId="0" fillId="11" borderId="7" xfId="0" applyFill="1" applyBorder="1" applyAlignment="1">
      <alignment horizontal="center" vertical="center"/>
    </xf>
    <xf numFmtId="165" fontId="0" fillId="0" borderId="6" xfId="1" applyNumberFormat="1" applyFont="1" applyBorder="1" applyAlignment="1">
      <alignment horizontal="center" vertical="center"/>
    </xf>
    <xf numFmtId="165" fontId="0" fillId="0" borderId="7" xfId="1" applyNumberFormat="1"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4" fillId="2" borderId="1"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263769</xdr:colOff>
      <xdr:row>2</xdr:row>
      <xdr:rowOff>57444</xdr:rowOff>
    </xdr:from>
    <xdr:to>
      <xdr:col>9</xdr:col>
      <xdr:colOff>376115</xdr:colOff>
      <xdr:row>20</xdr:row>
      <xdr:rowOff>27511</xdr:rowOff>
    </xdr:to>
    <xdr:pic>
      <xdr:nvPicPr>
        <xdr:cNvPr id="2" name="Picture 1">
          <a:extLst>
            <a:ext uri="{FF2B5EF4-FFF2-40B4-BE49-F238E27FC236}">
              <a16:creationId xmlns:a16="http://schemas.microsoft.com/office/drawing/2014/main" id="{C89282D8-9281-6336-A4B3-FE4DCCED7C0E}"/>
            </a:ext>
          </a:extLst>
        </xdr:cNvPr>
        <xdr:cNvPicPr>
          <a:picLocks noChangeAspect="1"/>
        </xdr:cNvPicPr>
      </xdr:nvPicPr>
      <xdr:blipFill>
        <a:blip xmlns:r="http://schemas.openxmlformats.org/officeDocument/2006/relationships" r:embed="rId1"/>
        <a:stretch>
          <a:fillRect/>
        </a:stretch>
      </xdr:blipFill>
      <xdr:spPr>
        <a:xfrm>
          <a:off x="263769" y="428675"/>
          <a:ext cx="5607538" cy="33111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EC987-DA61-4C15-A24E-F377C6369D41}">
  <dimension ref="A1:S20"/>
  <sheetViews>
    <sheetView tabSelected="1" zoomScale="70" zoomScaleNormal="70" workbookViewId="0">
      <pane xSplit="1" ySplit="2" topLeftCell="B7" activePane="bottomRight" state="frozen"/>
      <selection pane="topRight" activeCell="B1" sqref="B1"/>
      <selection pane="bottomLeft" activeCell="A3" sqref="A3"/>
      <selection pane="bottomRight" activeCell="C11" sqref="C11"/>
    </sheetView>
  </sheetViews>
  <sheetFormatPr defaultColWidth="8.81640625" defaultRowHeight="14.5" x14ac:dyDescent="0.35"/>
  <cols>
    <col min="1" max="1" width="18.81640625" style="38" customWidth="1"/>
    <col min="2" max="2" width="48.81640625" style="38" bestFit="1" customWidth="1"/>
    <col min="3" max="5" width="48.81640625" style="38" customWidth="1"/>
    <col min="6" max="6" width="27.7265625" style="38" bestFit="1" customWidth="1"/>
    <col min="7" max="7" width="90" style="38" bestFit="1" customWidth="1"/>
    <col min="8" max="8" width="35.54296875" style="38" bestFit="1" customWidth="1"/>
    <col min="9" max="9" width="38" style="38" bestFit="1" customWidth="1"/>
    <col min="10" max="10" width="26.1796875" style="38" bestFit="1" customWidth="1"/>
    <col min="11" max="11" width="31.54296875" style="38" customWidth="1"/>
    <col min="12" max="12" width="38.54296875" style="38" bestFit="1" customWidth="1"/>
    <col min="13" max="13" width="45.81640625" style="38" customWidth="1"/>
    <col min="14" max="14" width="24.54296875" style="38" bestFit="1" customWidth="1"/>
    <col min="15" max="15" width="93.1796875" style="38" bestFit="1" customWidth="1"/>
    <col min="16" max="17" width="14.81640625" style="38" bestFit="1" customWidth="1"/>
    <col min="18" max="18" width="17.453125" style="38" bestFit="1" customWidth="1"/>
    <col min="19" max="19" width="31.6328125" style="38" customWidth="1"/>
    <col min="20" max="16384" width="8.81640625" style="38"/>
  </cols>
  <sheetData>
    <row r="1" spans="1:19" x14ac:dyDescent="0.35">
      <c r="A1" s="58" t="s">
        <v>161</v>
      </c>
      <c r="B1" s="58"/>
      <c r="C1" s="58"/>
      <c r="D1" s="58"/>
      <c r="E1" s="58"/>
      <c r="F1" s="58"/>
      <c r="G1" s="58"/>
      <c r="H1" s="59" t="s">
        <v>162</v>
      </c>
      <c r="I1" s="59"/>
      <c r="J1" s="59"/>
      <c r="K1" s="59"/>
      <c r="L1" s="59"/>
      <c r="M1" s="59"/>
      <c r="N1" s="59"/>
      <c r="O1" s="59"/>
      <c r="P1" s="59"/>
      <c r="Q1" s="59"/>
      <c r="R1" s="59"/>
    </row>
    <row r="2" spans="1:19" ht="51.5" customHeight="1" x14ac:dyDescent="0.35">
      <c r="A2" s="31" t="s">
        <v>64</v>
      </c>
      <c r="B2" s="31" t="s">
        <v>65</v>
      </c>
      <c r="C2" s="31" t="s">
        <v>166</v>
      </c>
      <c r="D2" s="31" t="s">
        <v>192</v>
      </c>
      <c r="E2" s="31" t="s">
        <v>199</v>
      </c>
      <c r="F2" s="31" t="s">
        <v>165</v>
      </c>
      <c r="G2" s="31" t="s">
        <v>66</v>
      </c>
      <c r="H2" s="31" t="s">
        <v>82</v>
      </c>
      <c r="I2" s="31" t="s">
        <v>83</v>
      </c>
      <c r="J2" s="31" t="s">
        <v>115</v>
      </c>
      <c r="K2" s="31" t="s">
        <v>84</v>
      </c>
      <c r="L2" s="31" t="s">
        <v>87</v>
      </c>
      <c r="M2" s="31" t="s">
        <v>116</v>
      </c>
      <c r="N2" s="31" t="s">
        <v>120</v>
      </c>
      <c r="O2" s="60" t="s">
        <v>137</v>
      </c>
      <c r="P2" s="60"/>
      <c r="Q2" s="60"/>
      <c r="R2" s="60"/>
    </row>
    <row r="3" spans="1:19" ht="50.4" customHeight="1" x14ac:dyDescent="0.35">
      <c r="A3" s="61" t="s">
        <v>37</v>
      </c>
      <c r="B3" s="48" t="s">
        <v>68</v>
      </c>
      <c r="C3" s="47" t="s">
        <v>171</v>
      </c>
      <c r="D3" s="54" t="s">
        <v>203</v>
      </c>
      <c r="E3" s="54" t="s">
        <v>200</v>
      </c>
      <c r="F3" s="64">
        <v>50358.6</v>
      </c>
      <c r="G3" s="20" t="s">
        <v>103</v>
      </c>
      <c r="H3" s="20" t="s">
        <v>85</v>
      </c>
      <c r="I3" s="57" t="s">
        <v>201</v>
      </c>
      <c r="J3" s="21" t="s">
        <v>119</v>
      </c>
      <c r="K3" s="32" t="s">
        <v>96</v>
      </c>
      <c r="L3" s="21" t="s">
        <v>117</v>
      </c>
      <c r="M3" s="21" t="s">
        <v>158</v>
      </c>
      <c r="N3" s="33"/>
      <c r="O3" s="32"/>
      <c r="P3" s="32"/>
      <c r="Q3" s="32"/>
      <c r="R3" s="32"/>
    </row>
    <row r="4" spans="1:19" ht="50.4" customHeight="1" x14ac:dyDescent="0.35">
      <c r="A4" s="62"/>
      <c r="B4" s="48" t="s">
        <v>104</v>
      </c>
      <c r="C4" s="47" t="s">
        <v>178</v>
      </c>
      <c r="D4" s="48" t="s">
        <v>193</v>
      </c>
      <c r="E4" s="54" t="s">
        <v>200</v>
      </c>
      <c r="F4" s="65"/>
      <c r="G4" s="20" t="s">
        <v>105</v>
      </c>
      <c r="H4" s="20" t="s">
        <v>118</v>
      </c>
      <c r="I4" s="21" t="s">
        <v>89</v>
      </c>
      <c r="J4" s="21" t="s">
        <v>119</v>
      </c>
      <c r="K4" s="32" t="s">
        <v>96</v>
      </c>
      <c r="L4" s="20" t="s">
        <v>149</v>
      </c>
      <c r="M4" s="21" t="s">
        <v>138</v>
      </c>
      <c r="N4" s="20" t="s">
        <v>147</v>
      </c>
      <c r="O4" s="20" t="s">
        <v>148</v>
      </c>
      <c r="P4" s="32"/>
      <c r="Q4" s="32"/>
      <c r="R4" s="32"/>
    </row>
    <row r="5" spans="1:19" ht="50.4" customHeight="1" x14ac:dyDescent="0.35">
      <c r="A5" s="62"/>
      <c r="B5" s="48" t="s">
        <v>79</v>
      </c>
      <c r="C5" s="47" t="s">
        <v>176</v>
      </c>
      <c r="D5" s="48" t="s">
        <v>194</v>
      </c>
      <c r="E5" s="54" t="s">
        <v>200</v>
      </c>
      <c r="F5" s="49"/>
      <c r="G5" s="20"/>
      <c r="H5" s="20"/>
      <c r="I5" s="21"/>
      <c r="J5" s="21"/>
      <c r="K5" s="32"/>
      <c r="L5" s="20"/>
      <c r="M5" s="21"/>
      <c r="N5" s="20"/>
      <c r="O5" s="20"/>
      <c r="P5" s="32"/>
      <c r="Q5" s="32"/>
      <c r="R5" s="32"/>
    </row>
    <row r="6" spans="1:19" ht="50.4" customHeight="1" x14ac:dyDescent="0.35">
      <c r="A6" s="63"/>
      <c r="B6" s="48" t="s">
        <v>175</v>
      </c>
      <c r="C6" s="47" t="s">
        <v>177</v>
      </c>
      <c r="D6" s="52" t="s">
        <v>202</v>
      </c>
      <c r="E6" s="54" t="s">
        <v>200</v>
      </c>
      <c r="F6" s="49"/>
      <c r="G6" s="20"/>
      <c r="H6" s="20"/>
      <c r="I6" s="21"/>
      <c r="J6" s="21"/>
      <c r="K6" s="32"/>
      <c r="L6" s="20"/>
      <c r="M6" s="21"/>
      <c r="N6" s="20"/>
      <c r="O6" s="20"/>
      <c r="P6" s="32"/>
      <c r="Q6" s="32"/>
      <c r="R6" s="32"/>
    </row>
    <row r="7" spans="1:19" ht="50.4" customHeight="1" x14ac:dyDescent="0.35">
      <c r="A7" s="44" t="s">
        <v>41</v>
      </c>
      <c r="B7" s="44" t="s">
        <v>68</v>
      </c>
      <c r="C7" s="44" t="s">
        <v>204</v>
      </c>
      <c r="D7" s="44" t="s">
        <v>205</v>
      </c>
      <c r="E7" s="44"/>
      <c r="F7" s="40">
        <v>21958</v>
      </c>
      <c r="G7" s="21" t="s">
        <v>99</v>
      </c>
      <c r="H7" s="20" t="s">
        <v>121</v>
      </c>
      <c r="I7" s="21" t="s">
        <v>122</v>
      </c>
      <c r="J7" s="21" t="s">
        <v>123</v>
      </c>
      <c r="K7" s="32" t="s">
        <v>96</v>
      </c>
      <c r="L7" s="32" t="s">
        <v>96</v>
      </c>
      <c r="M7" s="21" t="s">
        <v>157</v>
      </c>
      <c r="N7" s="33"/>
      <c r="O7" s="21" t="s">
        <v>152</v>
      </c>
      <c r="P7" s="21" t="s">
        <v>153</v>
      </c>
      <c r="Q7" s="21" t="s">
        <v>154</v>
      </c>
      <c r="R7" s="20"/>
    </row>
    <row r="8" spans="1:19" ht="60" customHeight="1" x14ac:dyDescent="0.35">
      <c r="A8" s="54" t="s">
        <v>75</v>
      </c>
      <c r="B8" s="54" t="s">
        <v>68</v>
      </c>
      <c r="C8" s="54" t="s">
        <v>195</v>
      </c>
      <c r="D8" s="54" t="s">
        <v>196</v>
      </c>
      <c r="E8" s="54" t="s">
        <v>200</v>
      </c>
      <c r="F8" s="40">
        <v>20046.5</v>
      </c>
      <c r="G8" s="20" t="s">
        <v>139</v>
      </c>
      <c r="H8" s="20" t="s">
        <v>85</v>
      </c>
      <c r="I8" s="20" t="s">
        <v>89</v>
      </c>
      <c r="J8" s="20" t="s">
        <v>124</v>
      </c>
      <c r="K8" s="32"/>
      <c r="L8" s="39">
        <v>5.0000000000000001E-3</v>
      </c>
      <c r="M8" s="20" t="s">
        <v>159</v>
      </c>
      <c r="N8" s="32"/>
      <c r="O8" s="32"/>
      <c r="P8" s="32"/>
      <c r="Q8" s="32"/>
      <c r="R8" s="32"/>
    </row>
    <row r="9" spans="1:19" ht="50.4" customHeight="1" x14ac:dyDescent="0.35">
      <c r="A9" s="54" t="s">
        <v>8</v>
      </c>
      <c r="B9" s="54" t="s">
        <v>68</v>
      </c>
      <c r="C9" s="54" t="s">
        <v>167</v>
      </c>
      <c r="D9" s="54"/>
      <c r="E9" s="54" t="s">
        <v>200</v>
      </c>
      <c r="F9" s="40">
        <v>5670.2</v>
      </c>
      <c r="G9" s="21" t="s">
        <v>160</v>
      </c>
      <c r="H9" s="20" t="s">
        <v>125</v>
      </c>
      <c r="I9" s="20" t="s">
        <v>126</v>
      </c>
      <c r="J9" s="32" t="s">
        <v>96</v>
      </c>
      <c r="K9" s="32" t="s">
        <v>96</v>
      </c>
      <c r="L9" s="32" t="s">
        <v>96</v>
      </c>
      <c r="M9" s="32"/>
      <c r="N9" s="32"/>
      <c r="O9" s="20" t="s">
        <v>151</v>
      </c>
      <c r="P9" s="32"/>
      <c r="Q9" s="32"/>
      <c r="R9" s="32"/>
    </row>
    <row r="10" spans="1:19" ht="55" customHeight="1" x14ac:dyDescent="0.35">
      <c r="A10" s="48" t="s">
        <v>71</v>
      </c>
      <c r="B10" s="54" t="s">
        <v>72</v>
      </c>
      <c r="C10" s="54" t="s">
        <v>181</v>
      </c>
      <c r="D10" s="54" t="s">
        <v>197</v>
      </c>
      <c r="E10" s="54" t="s">
        <v>200</v>
      </c>
      <c r="F10" s="40">
        <v>4139.5</v>
      </c>
      <c r="G10" s="21" t="s">
        <v>73</v>
      </c>
      <c r="H10" s="20" t="s">
        <v>91</v>
      </c>
      <c r="I10" s="21" t="s">
        <v>136</v>
      </c>
      <c r="J10" s="21" t="s">
        <v>95</v>
      </c>
      <c r="K10" s="21" t="s">
        <v>155</v>
      </c>
      <c r="L10" s="32" t="s">
        <v>96</v>
      </c>
      <c r="M10" s="32"/>
      <c r="N10" s="32"/>
      <c r="O10" s="32"/>
      <c r="P10" s="32"/>
      <c r="Q10" s="32"/>
      <c r="R10" s="32"/>
    </row>
    <row r="11" spans="1:19" ht="53.5" customHeight="1" x14ac:dyDescent="0.35">
      <c r="A11" s="48" t="s">
        <v>76</v>
      </c>
      <c r="B11" s="48" t="s">
        <v>77</v>
      </c>
      <c r="C11" s="48" t="s">
        <v>182</v>
      </c>
      <c r="D11" s="54" t="s">
        <v>197</v>
      </c>
      <c r="E11" s="54" t="s">
        <v>200</v>
      </c>
      <c r="F11" s="40">
        <v>3649.7</v>
      </c>
      <c r="G11" s="20" t="s">
        <v>73</v>
      </c>
      <c r="H11" s="21" t="s">
        <v>92</v>
      </c>
      <c r="I11" s="21" t="s">
        <v>135</v>
      </c>
      <c r="J11" s="21" t="s">
        <v>95</v>
      </c>
      <c r="K11" s="21" t="s">
        <v>97</v>
      </c>
      <c r="L11" s="32"/>
      <c r="M11" s="32"/>
      <c r="N11" s="32"/>
      <c r="O11" s="32"/>
      <c r="P11" s="32"/>
      <c r="Q11" s="32"/>
      <c r="R11" s="32"/>
    </row>
    <row r="12" spans="1:19" ht="50.4" customHeight="1" x14ac:dyDescent="0.35">
      <c r="A12" s="20" t="s">
        <v>55</v>
      </c>
      <c r="B12" s="37" t="s">
        <v>98</v>
      </c>
      <c r="C12" s="37"/>
      <c r="D12" s="37"/>
      <c r="E12" s="37"/>
      <c r="F12" s="40">
        <v>3595</v>
      </c>
      <c r="G12" s="22" t="s">
        <v>109</v>
      </c>
      <c r="H12" s="23"/>
      <c r="I12" s="23"/>
      <c r="J12" s="34"/>
      <c r="K12" s="35"/>
      <c r="L12" s="32"/>
      <c r="M12" s="32"/>
      <c r="N12" s="32"/>
      <c r="O12" s="32"/>
      <c r="P12" s="32"/>
      <c r="Q12" s="32"/>
      <c r="R12" s="32"/>
    </row>
    <row r="13" spans="1:19" ht="50.4" customHeight="1" x14ac:dyDescent="0.35">
      <c r="A13" s="20" t="s">
        <v>48</v>
      </c>
      <c r="B13" s="20" t="s">
        <v>146</v>
      </c>
      <c r="C13" s="20"/>
      <c r="D13" s="20"/>
      <c r="E13" s="20"/>
      <c r="F13" s="40">
        <v>2526.3000000000002</v>
      </c>
      <c r="G13" s="20" t="s">
        <v>128</v>
      </c>
      <c r="H13" s="21" t="s">
        <v>140</v>
      </c>
      <c r="I13" s="21" t="s">
        <v>127</v>
      </c>
      <c r="J13" s="33"/>
      <c r="K13" s="33"/>
      <c r="L13" s="32"/>
      <c r="M13" s="32"/>
      <c r="N13" s="32"/>
      <c r="O13" s="20" t="s">
        <v>129</v>
      </c>
      <c r="P13" s="20" t="s">
        <v>130</v>
      </c>
      <c r="Q13" s="20" t="s">
        <v>131</v>
      </c>
      <c r="R13" s="20" t="s">
        <v>132</v>
      </c>
    </row>
    <row r="14" spans="1:19" ht="50.4" customHeight="1" x14ac:dyDescent="0.35">
      <c r="A14" s="46" t="s">
        <v>94</v>
      </c>
      <c r="B14" s="20"/>
      <c r="C14" s="20"/>
      <c r="D14" s="20"/>
      <c r="E14" s="20"/>
      <c r="F14" s="40">
        <v>1369</v>
      </c>
      <c r="G14" s="21" t="s">
        <v>164</v>
      </c>
      <c r="H14" s="21" t="s">
        <v>141</v>
      </c>
      <c r="I14" s="33"/>
      <c r="J14" s="33"/>
      <c r="K14" s="33"/>
      <c r="L14" s="32"/>
      <c r="M14" s="32"/>
      <c r="N14" s="32"/>
      <c r="O14" s="20" t="s">
        <v>132</v>
      </c>
      <c r="P14" s="20" t="s">
        <v>142</v>
      </c>
      <c r="Q14" s="20" t="s">
        <v>143</v>
      </c>
      <c r="R14" s="20" t="s">
        <v>144</v>
      </c>
      <c r="S14" s="38" t="s">
        <v>145</v>
      </c>
    </row>
    <row r="15" spans="1:19" ht="50.4" customHeight="1" x14ac:dyDescent="0.35">
      <c r="A15" s="48" t="s">
        <v>26</v>
      </c>
      <c r="B15" s="48" t="s">
        <v>81</v>
      </c>
      <c r="C15" s="48" t="s">
        <v>180</v>
      </c>
      <c r="D15" s="48" t="s">
        <v>197</v>
      </c>
      <c r="E15" s="54" t="s">
        <v>200</v>
      </c>
      <c r="F15" s="40">
        <v>1300.5</v>
      </c>
      <c r="G15" s="20" t="s">
        <v>163</v>
      </c>
      <c r="H15" s="21" t="s">
        <v>92</v>
      </c>
      <c r="I15" s="21" t="s">
        <v>135</v>
      </c>
      <c r="J15" s="21" t="s">
        <v>95</v>
      </c>
      <c r="K15" s="21" t="s">
        <v>97</v>
      </c>
      <c r="L15" s="32"/>
      <c r="M15" s="32"/>
      <c r="N15" s="32"/>
      <c r="O15" s="32"/>
      <c r="P15" s="32"/>
      <c r="Q15" s="32"/>
      <c r="R15" s="32"/>
    </row>
    <row r="16" spans="1:19" ht="55.5" customHeight="1" x14ac:dyDescent="0.35">
      <c r="A16" s="48" t="s">
        <v>45</v>
      </c>
      <c r="B16" s="48" t="s">
        <v>79</v>
      </c>
      <c r="C16" s="47" t="s">
        <v>172</v>
      </c>
      <c r="D16" s="51"/>
      <c r="E16" s="51"/>
      <c r="F16" s="40">
        <v>921.6</v>
      </c>
      <c r="G16" s="21" t="s">
        <v>80</v>
      </c>
      <c r="H16" s="20" t="s">
        <v>93</v>
      </c>
      <c r="I16" s="21" t="s">
        <v>133</v>
      </c>
      <c r="J16" s="32"/>
      <c r="K16" s="32"/>
      <c r="L16" s="32"/>
      <c r="M16" s="20" t="s">
        <v>134</v>
      </c>
      <c r="N16" s="39" t="s">
        <v>150</v>
      </c>
      <c r="O16" s="32"/>
      <c r="P16" s="32"/>
      <c r="Q16" s="32"/>
      <c r="R16" s="32"/>
    </row>
    <row r="17" spans="1:18" ht="50.4" customHeight="1" x14ac:dyDescent="0.35">
      <c r="A17" s="48" t="s">
        <v>16</v>
      </c>
      <c r="B17" s="48" t="s">
        <v>68</v>
      </c>
      <c r="C17" s="47" t="s">
        <v>170</v>
      </c>
      <c r="D17" s="48" t="s">
        <v>198</v>
      </c>
      <c r="E17" s="54" t="s">
        <v>200</v>
      </c>
      <c r="F17" s="40">
        <v>850.5</v>
      </c>
      <c r="G17" s="21" t="s">
        <v>114</v>
      </c>
      <c r="H17" s="21" t="s">
        <v>86</v>
      </c>
      <c r="I17" s="21" t="s">
        <v>156</v>
      </c>
      <c r="J17" s="36" t="s">
        <v>96</v>
      </c>
      <c r="K17" s="21" t="s">
        <v>90</v>
      </c>
      <c r="L17" s="20" t="s">
        <v>88</v>
      </c>
      <c r="M17" s="32"/>
      <c r="N17" s="32"/>
      <c r="O17" s="32"/>
      <c r="P17" s="32"/>
      <c r="Q17" s="32"/>
      <c r="R17" s="32"/>
    </row>
    <row r="19" spans="1:18" ht="70" customHeight="1" x14ac:dyDescent="0.35">
      <c r="F19" s="53">
        <f>SUM(F3:F17)</f>
        <v>116385.40000000001</v>
      </c>
    </row>
    <row r="20" spans="1:18" ht="70" customHeight="1" x14ac:dyDescent="0.35"/>
  </sheetData>
  <mergeCells count="5">
    <mergeCell ref="A1:G1"/>
    <mergeCell ref="H1:R1"/>
    <mergeCell ref="O2:R2"/>
    <mergeCell ref="A3:A6"/>
    <mergeCell ref="F3: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1F8D0-66BA-4E57-A18D-E6C63F9CB185}">
  <dimension ref="A1:R20"/>
  <sheetViews>
    <sheetView zoomScale="70" zoomScaleNormal="70" workbookViewId="0">
      <selection activeCell="A3" sqref="A3:C6"/>
    </sheetView>
  </sheetViews>
  <sheetFormatPr defaultColWidth="8.81640625" defaultRowHeight="14.5" x14ac:dyDescent="0.35"/>
  <cols>
    <col min="1" max="1" width="16.1796875" style="38" bestFit="1" customWidth="1"/>
    <col min="2" max="2" width="48.81640625" style="38" bestFit="1" customWidth="1"/>
    <col min="3" max="4" width="48.81640625" style="38" customWidth="1"/>
    <col min="5" max="5" width="27.7265625" style="38" bestFit="1" customWidth="1"/>
    <col min="6" max="6" width="90" style="38" bestFit="1" customWidth="1"/>
    <col min="7" max="7" width="35.54296875" style="38" bestFit="1" customWidth="1"/>
    <col min="8" max="8" width="38" style="38" bestFit="1" customWidth="1"/>
    <col min="9" max="9" width="26.1796875" style="38" bestFit="1" customWidth="1"/>
    <col min="10" max="10" width="31.54296875" style="38" customWidth="1"/>
    <col min="11" max="11" width="38.54296875" style="38" bestFit="1" customWidth="1"/>
    <col min="12" max="12" width="45.81640625" style="38" customWidth="1"/>
    <col min="13" max="13" width="24.54296875" style="38" bestFit="1" customWidth="1"/>
    <col min="14" max="14" width="93.1796875" style="38" bestFit="1" customWidth="1"/>
    <col min="15" max="16" width="14.81640625" style="38" bestFit="1" customWidth="1"/>
    <col min="17" max="17" width="17.453125" style="38" bestFit="1" customWidth="1"/>
    <col min="18" max="18" width="31.6328125" style="38" customWidth="1"/>
    <col min="19" max="16384" width="8.81640625" style="38"/>
  </cols>
  <sheetData>
    <row r="1" spans="1:18" x14ac:dyDescent="0.35">
      <c r="A1" s="58" t="s">
        <v>161</v>
      </c>
      <c r="B1" s="58"/>
      <c r="C1" s="58"/>
      <c r="D1" s="58"/>
      <c r="E1" s="58"/>
      <c r="F1" s="58"/>
      <c r="G1" s="59" t="s">
        <v>162</v>
      </c>
      <c r="H1" s="59"/>
      <c r="I1" s="59"/>
      <c r="J1" s="59"/>
      <c r="K1" s="59"/>
      <c r="L1" s="59"/>
      <c r="M1" s="59"/>
      <c r="N1" s="59"/>
      <c r="O1" s="59"/>
      <c r="P1" s="59"/>
      <c r="Q1" s="59"/>
    </row>
    <row r="2" spans="1:18" x14ac:dyDescent="0.35">
      <c r="A2" s="31" t="s">
        <v>64</v>
      </c>
      <c r="B2" s="31" t="s">
        <v>65</v>
      </c>
      <c r="C2" s="31" t="s">
        <v>166</v>
      </c>
      <c r="D2" s="31" t="s">
        <v>173</v>
      </c>
      <c r="E2" s="31" t="s">
        <v>165</v>
      </c>
      <c r="F2" s="31" t="s">
        <v>66</v>
      </c>
      <c r="G2" s="31" t="s">
        <v>82</v>
      </c>
      <c r="H2" s="31" t="s">
        <v>83</v>
      </c>
      <c r="I2" s="31" t="s">
        <v>115</v>
      </c>
      <c r="J2" s="31" t="s">
        <v>84</v>
      </c>
      <c r="K2" s="31" t="s">
        <v>87</v>
      </c>
      <c r="L2" s="31" t="s">
        <v>116</v>
      </c>
      <c r="M2" s="31" t="s">
        <v>120</v>
      </c>
      <c r="N2" s="60" t="s">
        <v>137</v>
      </c>
      <c r="O2" s="60"/>
      <c r="P2" s="60"/>
      <c r="Q2" s="60"/>
    </row>
    <row r="3" spans="1:18" ht="50.4" customHeight="1" x14ac:dyDescent="0.35">
      <c r="A3" s="61" t="s">
        <v>37</v>
      </c>
      <c r="B3" s="48" t="s">
        <v>68</v>
      </c>
      <c r="C3" s="47" t="s">
        <v>171</v>
      </c>
      <c r="D3" s="50"/>
      <c r="E3" s="64">
        <v>50358.6</v>
      </c>
      <c r="F3" s="20" t="s">
        <v>103</v>
      </c>
      <c r="G3" s="20" t="s">
        <v>85</v>
      </c>
      <c r="H3" s="21" t="s">
        <v>89</v>
      </c>
      <c r="I3" s="21" t="s">
        <v>119</v>
      </c>
      <c r="J3" s="32" t="s">
        <v>96</v>
      </c>
      <c r="K3" s="21" t="s">
        <v>117</v>
      </c>
      <c r="L3" s="21" t="s">
        <v>158</v>
      </c>
      <c r="M3" s="33"/>
      <c r="N3" s="32"/>
      <c r="O3" s="32"/>
      <c r="P3" s="32"/>
      <c r="Q3" s="32"/>
    </row>
    <row r="4" spans="1:18" ht="50.4" customHeight="1" x14ac:dyDescent="0.35">
      <c r="A4" s="62"/>
      <c r="B4" s="48" t="s">
        <v>104</v>
      </c>
      <c r="C4" s="47" t="s">
        <v>178</v>
      </c>
      <c r="D4" s="52"/>
      <c r="E4" s="65"/>
      <c r="F4" s="20" t="s">
        <v>105</v>
      </c>
      <c r="G4" s="20" t="s">
        <v>118</v>
      </c>
      <c r="H4" s="21" t="s">
        <v>89</v>
      </c>
      <c r="I4" s="21" t="s">
        <v>119</v>
      </c>
      <c r="J4" s="32" t="s">
        <v>96</v>
      </c>
      <c r="K4" s="20" t="s">
        <v>149</v>
      </c>
      <c r="L4" s="21" t="s">
        <v>138</v>
      </c>
      <c r="M4" s="20" t="s">
        <v>147</v>
      </c>
      <c r="N4" s="20" t="s">
        <v>148</v>
      </c>
      <c r="O4" s="32"/>
      <c r="P4" s="32"/>
      <c r="Q4" s="32"/>
    </row>
    <row r="5" spans="1:18" ht="50.4" customHeight="1" x14ac:dyDescent="0.35">
      <c r="A5" s="62"/>
      <c r="B5" s="48" t="s">
        <v>79</v>
      </c>
      <c r="C5" s="47" t="s">
        <v>176</v>
      </c>
      <c r="D5" s="52"/>
      <c r="E5" s="49"/>
      <c r="F5" s="20"/>
      <c r="G5" s="20"/>
      <c r="H5" s="21"/>
      <c r="I5" s="21"/>
      <c r="J5" s="32"/>
      <c r="K5" s="20"/>
      <c r="L5" s="21"/>
      <c r="M5" s="20"/>
      <c r="N5" s="20"/>
      <c r="O5" s="32"/>
      <c r="P5" s="32"/>
      <c r="Q5" s="32"/>
    </row>
    <row r="6" spans="1:18" ht="50.4" customHeight="1" x14ac:dyDescent="0.35">
      <c r="A6" s="63"/>
      <c r="B6" s="48" t="s">
        <v>175</v>
      </c>
      <c r="C6" s="47" t="s">
        <v>177</v>
      </c>
      <c r="D6" s="52"/>
      <c r="E6" s="49"/>
      <c r="F6" s="20"/>
      <c r="G6" s="20"/>
      <c r="H6" s="21"/>
      <c r="I6" s="21"/>
      <c r="J6" s="32"/>
      <c r="K6" s="20"/>
      <c r="L6" s="21"/>
      <c r="M6" s="20"/>
      <c r="N6" s="20"/>
      <c r="O6" s="32"/>
      <c r="P6" s="32"/>
      <c r="Q6" s="32"/>
    </row>
    <row r="7" spans="1:18" ht="50.4" customHeight="1" x14ac:dyDescent="0.35">
      <c r="A7" s="44" t="s">
        <v>41</v>
      </c>
      <c r="B7" s="44" t="s">
        <v>68</v>
      </c>
      <c r="C7" s="44"/>
      <c r="D7" s="44"/>
      <c r="E7" s="40">
        <v>21958</v>
      </c>
      <c r="F7" s="21" t="s">
        <v>99</v>
      </c>
      <c r="G7" s="20" t="s">
        <v>121</v>
      </c>
      <c r="H7" s="21" t="s">
        <v>122</v>
      </c>
      <c r="I7" s="21" t="s">
        <v>123</v>
      </c>
      <c r="J7" s="32" t="s">
        <v>96</v>
      </c>
      <c r="K7" s="32" t="s">
        <v>96</v>
      </c>
      <c r="L7" s="21" t="s">
        <v>157</v>
      </c>
      <c r="M7" s="33"/>
      <c r="N7" s="21" t="s">
        <v>152</v>
      </c>
      <c r="O7" s="21" t="s">
        <v>153</v>
      </c>
      <c r="P7" s="21" t="s">
        <v>154</v>
      </c>
      <c r="Q7" s="20"/>
    </row>
    <row r="8" spans="1:18" ht="50.4" customHeight="1" x14ac:dyDescent="0.35">
      <c r="A8" s="45" t="s">
        <v>75</v>
      </c>
      <c r="B8" s="44" t="s">
        <v>68</v>
      </c>
      <c r="C8" s="44"/>
      <c r="D8" s="44"/>
      <c r="E8" s="40">
        <v>20046.5</v>
      </c>
      <c r="F8" s="20" t="s">
        <v>139</v>
      </c>
      <c r="G8" s="20" t="s">
        <v>85</v>
      </c>
      <c r="H8" s="20" t="s">
        <v>89</v>
      </c>
      <c r="I8" s="20" t="s">
        <v>124</v>
      </c>
      <c r="J8" s="32"/>
      <c r="K8" s="39">
        <v>5.0000000000000001E-3</v>
      </c>
      <c r="L8" s="20" t="s">
        <v>159</v>
      </c>
      <c r="M8" s="32"/>
      <c r="N8" s="32"/>
      <c r="O8" s="32"/>
      <c r="P8" s="32"/>
      <c r="Q8" s="32"/>
    </row>
    <row r="9" spans="1:18" ht="50.4" customHeight="1" x14ac:dyDescent="0.35">
      <c r="A9" s="55" t="s">
        <v>8</v>
      </c>
      <c r="B9" s="55" t="s">
        <v>68</v>
      </c>
      <c r="C9" s="56" t="s">
        <v>167</v>
      </c>
      <c r="D9" s="51" t="s">
        <v>174</v>
      </c>
      <c r="E9" s="40">
        <v>5670.2</v>
      </c>
      <c r="F9" s="21" t="s">
        <v>160</v>
      </c>
      <c r="G9" s="20" t="s">
        <v>125</v>
      </c>
      <c r="H9" s="20" t="s">
        <v>126</v>
      </c>
      <c r="I9" s="32" t="s">
        <v>96</v>
      </c>
      <c r="J9" s="32" t="s">
        <v>96</v>
      </c>
      <c r="K9" s="32" t="s">
        <v>96</v>
      </c>
      <c r="L9" s="32"/>
      <c r="M9" s="32"/>
      <c r="N9" s="20" t="s">
        <v>151</v>
      </c>
      <c r="O9" s="32"/>
      <c r="P9" s="32"/>
      <c r="Q9" s="32"/>
    </row>
    <row r="10" spans="1:18" ht="107.5" customHeight="1" x14ac:dyDescent="0.35">
      <c r="A10" s="48" t="s">
        <v>71</v>
      </c>
      <c r="B10" s="54" t="s">
        <v>72</v>
      </c>
      <c r="C10" s="54" t="s">
        <v>181</v>
      </c>
      <c r="D10" s="45"/>
      <c r="E10" s="40">
        <v>4139.5</v>
      </c>
      <c r="F10" s="21" t="s">
        <v>73</v>
      </c>
      <c r="G10" s="20" t="s">
        <v>91</v>
      </c>
      <c r="H10" s="21" t="s">
        <v>136</v>
      </c>
      <c r="I10" s="21" t="s">
        <v>95</v>
      </c>
      <c r="J10" s="21" t="s">
        <v>155</v>
      </c>
      <c r="K10" s="32" t="s">
        <v>96</v>
      </c>
      <c r="L10" s="32"/>
      <c r="M10" s="32"/>
      <c r="N10" s="32"/>
      <c r="O10" s="32"/>
      <c r="P10" s="32"/>
      <c r="Q10" s="32"/>
    </row>
    <row r="11" spans="1:18" ht="50.4" customHeight="1" x14ac:dyDescent="0.35">
      <c r="A11" s="48" t="s">
        <v>76</v>
      </c>
      <c r="B11" s="48" t="s">
        <v>77</v>
      </c>
      <c r="C11" s="48" t="s">
        <v>182</v>
      </c>
      <c r="D11" s="44"/>
      <c r="E11" s="40">
        <v>3649.7</v>
      </c>
      <c r="F11" s="20" t="s">
        <v>73</v>
      </c>
      <c r="G11" s="21" t="s">
        <v>92</v>
      </c>
      <c r="H11" s="21" t="s">
        <v>135</v>
      </c>
      <c r="I11" s="21" t="s">
        <v>95</v>
      </c>
      <c r="J11" s="21" t="s">
        <v>97</v>
      </c>
      <c r="K11" s="32"/>
      <c r="L11" s="32"/>
      <c r="M11" s="32"/>
      <c r="N11" s="32"/>
      <c r="O11" s="32"/>
      <c r="P11" s="32"/>
      <c r="Q11" s="32"/>
    </row>
    <row r="12" spans="1:18" ht="50.4" customHeight="1" x14ac:dyDescent="0.35">
      <c r="A12" s="20" t="s">
        <v>55</v>
      </c>
      <c r="B12" s="37" t="s">
        <v>98</v>
      </c>
      <c r="C12" s="37"/>
      <c r="D12" s="37"/>
      <c r="E12" s="40">
        <v>3595</v>
      </c>
      <c r="F12" s="22" t="s">
        <v>109</v>
      </c>
      <c r="G12" s="23"/>
      <c r="H12" s="23"/>
      <c r="I12" s="34"/>
      <c r="J12" s="35"/>
      <c r="K12" s="32"/>
      <c r="L12" s="32"/>
      <c r="M12" s="32"/>
      <c r="N12" s="32"/>
      <c r="O12" s="32"/>
      <c r="P12" s="32"/>
      <c r="Q12" s="32"/>
    </row>
    <row r="13" spans="1:18" ht="50.4" customHeight="1" x14ac:dyDescent="0.35">
      <c r="A13" s="20" t="s">
        <v>48</v>
      </c>
      <c r="B13" s="20" t="s">
        <v>146</v>
      </c>
      <c r="C13" s="20"/>
      <c r="D13" s="20"/>
      <c r="E13" s="40">
        <v>2526.3000000000002</v>
      </c>
      <c r="F13" s="20" t="s">
        <v>128</v>
      </c>
      <c r="G13" s="21" t="s">
        <v>140</v>
      </c>
      <c r="H13" s="21" t="s">
        <v>127</v>
      </c>
      <c r="I13" s="33"/>
      <c r="J13" s="33"/>
      <c r="K13" s="32"/>
      <c r="L13" s="32"/>
      <c r="M13" s="32"/>
      <c r="N13" s="20" t="s">
        <v>129</v>
      </c>
      <c r="O13" s="20" t="s">
        <v>130</v>
      </c>
      <c r="P13" s="20" t="s">
        <v>131</v>
      </c>
      <c r="Q13" s="20" t="s">
        <v>132</v>
      </c>
    </row>
    <row r="14" spans="1:18" ht="50.4" customHeight="1" x14ac:dyDescent="0.35">
      <c r="A14" s="46" t="s">
        <v>94</v>
      </c>
      <c r="B14" s="20"/>
      <c r="C14" s="20"/>
      <c r="D14" s="20"/>
      <c r="E14" s="40">
        <v>1369</v>
      </c>
      <c r="F14" s="21" t="s">
        <v>164</v>
      </c>
      <c r="G14" s="21" t="s">
        <v>141</v>
      </c>
      <c r="H14" s="33"/>
      <c r="I14" s="33"/>
      <c r="J14" s="33"/>
      <c r="K14" s="32"/>
      <c r="L14" s="32"/>
      <c r="M14" s="32"/>
      <c r="N14" s="20" t="s">
        <v>132</v>
      </c>
      <c r="O14" s="20" t="s">
        <v>142</v>
      </c>
      <c r="P14" s="20" t="s">
        <v>143</v>
      </c>
      <c r="Q14" s="20" t="s">
        <v>144</v>
      </c>
      <c r="R14" s="38" t="s">
        <v>145</v>
      </c>
    </row>
    <row r="15" spans="1:18" ht="50.4" customHeight="1" x14ac:dyDescent="0.35">
      <c r="A15" s="48" t="s">
        <v>26</v>
      </c>
      <c r="B15" s="48" t="s">
        <v>81</v>
      </c>
      <c r="C15" s="48" t="s">
        <v>180</v>
      </c>
      <c r="D15" s="44"/>
      <c r="E15" s="40">
        <v>1300.5</v>
      </c>
      <c r="F15" s="20" t="s">
        <v>163</v>
      </c>
      <c r="G15" s="21" t="s">
        <v>92</v>
      </c>
      <c r="H15" s="21" t="s">
        <v>135</v>
      </c>
      <c r="I15" s="21" t="s">
        <v>95</v>
      </c>
      <c r="J15" s="21" t="s">
        <v>97</v>
      </c>
      <c r="K15" s="32"/>
      <c r="L15" s="32"/>
      <c r="M15" s="32"/>
      <c r="N15" s="32"/>
      <c r="O15" s="32"/>
      <c r="P15" s="32"/>
      <c r="Q15" s="32"/>
    </row>
    <row r="16" spans="1:18" ht="50.4" customHeight="1" x14ac:dyDescent="0.35">
      <c r="A16" s="48" t="s">
        <v>45</v>
      </c>
      <c r="B16" s="48" t="s">
        <v>79</v>
      </c>
      <c r="C16" s="47" t="s">
        <v>172</v>
      </c>
      <c r="D16" s="51"/>
      <c r="E16" s="40">
        <v>921.6</v>
      </c>
      <c r="F16" s="21" t="s">
        <v>80</v>
      </c>
      <c r="G16" s="20" t="s">
        <v>93</v>
      </c>
      <c r="H16" s="21" t="s">
        <v>133</v>
      </c>
      <c r="I16" s="32"/>
      <c r="J16" s="32"/>
      <c r="K16" s="32"/>
      <c r="L16" s="20" t="s">
        <v>134</v>
      </c>
      <c r="M16" s="39" t="s">
        <v>150</v>
      </c>
      <c r="N16" s="32"/>
      <c r="O16" s="32"/>
      <c r="P16" s="32"/>
      <c r="Q16" s="32"/>
    </row>
    <row r="17" spans="1:17" ht="50.4" customHeight="1" x14ac:dyDescent="0.35">
      <c r="A17" s="48" t="s">
        <v>16</v>
      </c>
      <c r="B17" s="48" t="s">
        <v>68</v>
      </c>
      <c r="C17" s="47" t="s">
        <v>170</v>
      </c>
      <c r="D17" s="51" t="s">
        <v>174</v>
      </c>
      <c r="E17" s="40">
        <v>850.5</v>
      </c>
      <c r="F17" s="21" t="s">
        <v>114</v>
      </c>
      <c r="G17" s="21" t="s">
        <v>86</v>
      </c>
      <c r="H17" s="21" t="s">
        <v>156</v>
      </c>
      <c r="I17" s="36" t="s">
        <v>96</v>
      </c>
      <c r="J17" s="21" t="s">
        <v>90</v>
      </c>
      <c r="K17" s="20" t="s">
        <v>88</v>
      </c>
      <c r="L17" s="32"/>
      <c r="M17" s="32"/>
      <c r="N17" s="32"/>
      <c r="O17" s="32"/>
      <c r="P17" s="32"/>
      <c r="Q17" s="32"/>
    </row>
    <row r="19" spans="1:17" ht="70" customHeight="1" x14ac:dyDescent="0.35">
      <c r="E19" s="53">
        <f>SUM(E3:E17)</f>
        <v>116385.40000000001</v>
      </c>
    </row>
    <row r="20" spans="1:17" ht="70" customHeight="1" x14ac:dyDescent="0.35"/>
  </sheetData>
  <mergeCells count="5">
    <mergeCell ref="G1:Q1"/>
    <mergeCell ref="N2:Q2"/>
    <mergeCell ref="A1:F1"/>
    <mergeCell ref="E3:E4"/>
    <mergeCell ref="A3:A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5D85-FF5E-49F6-B16E-BB3D3E3D6BEA}">
  <dimension ref="F3"/>
  <sheetViews>
    <sheetView topLeftCell="B1" workbookViewId="0">
      <selection activeCell="F3" sqref="F3"/>
    </sheetView>
  </sheetViews>
  <sheetFormatPr defaultRowHeight="14.5" x14ac:dyDescent="0.35"/>
  <cols>
    <col min="6" max="6" width="24.6328125" bestFit="1" customWidth="1"/>
  </cols>
  <sheetData>
    <row r="3" spans="6:6" x14ac:dyDescent="0.35">
      <c r="F3" t="s">
        <v>179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3CCE5-DCD2-4BBA-A4E4-BF3F4263A6A4}">
  <dimension ref="A1:E14"/>
  <sheetViews>
    <sheetView topLeftCell="B2" zoomScale="70" zoomScaleNormal="70" workbookViewId="0">
      <selection activeCell="E2" sqref="E2"/>
    </sheetView>
  </sheetViews>
  <sheetFormatPr defaultRowHeight="14.5" x14ac:dyDescent="0.35"/>
  <cols>
    <col min="2" max="2" width="33.1796875" bestFit="1" customWidth="1"/>
    <col min="3" max="3" width="23" bestFit="1" customWidth="1"/>
    <col min="4" max="4" width="99.1796875" bestFit="1" customWidth="1"/>
    <col min="5" max="5" width="82.81640625" bestFit="1" customWidth="1"/>
  </cols>
  <sheetData>
    <row r="1" spans="1:5" x14ac:dyDescent="0.35">
      <c r="A1" s="17" t="s">
        <v>64</v>
      </c>
      <c r="B1" s="17" t="s">
        <v>65</v>
      </c>
      <c r="C1" s="18" t="s">
        <v>101</v>
      </c>
      <c r="D1" s="18" t="s">
        <v>66</v>
      </c>
      <c r="E1" s="17" t="s">
        <v>67</v>
      </c>
    </row>
    <row r="2" spans="1:5" ht="130.5" x14ac:dyDescent="0.35">
      <c r="A2" s="66" t="s">
        <v>37</v>
      </c>
      <c r="B2" s="13" t="s">
        <v>68</v>
      </c>
      <c r="C2" s="66">
        <v>50358.6</v>
      </c>
      <c r="D2" s="13" t="s">
        <v>103</v>
      </c>
      <c r="E2" s="14" t="s">
        <v>102</v>
      </c>
    </row>
    <row r="3" spans="1:5" ht="391.5" x14ac:dyDescent="0.35">
      <c r="A3" s="67"/>
      <c r="B3" s="13" t="s">
        <v>104</v>
      </c>
      <c r="C3" s="67"/>
      <c r="D3" s="13" t="s">
        <v>105</v>
      </c>
      <c r="E3" s="14" t="s">
        <v>106</v>
      </c>
    </row>
    <row r="4" spans="1:5" ht="188.5" x14ac:dyDescent="0.35">
      <c r="A4" s="13" t="s">
        <v>41</v>
      </c>
      <c r="B4" s="13" t="s">
        <v>68</v>
      </c>
      <c r="C4" s="20">
        <v>21958</v>
      </c>
      <c r="D4" s="15" t="s">
        <v>99</v>
      </c>
      <c r="E4" s="14" t="s">
        <v>100</v>
      </c>
    </row>
    <row r="5" spans="1:5" ht="58" x14ac:dyDescent="0.35">
      <c r="A5" s="19" t="s">
        <v>75</v>
      </c>
      <c r="B5" s="12" t="s">
        <v>68</v>
      </c>
      <c r="C5" s="20">
        <v>20046.5</v>
      </c>
      <c r="D5" s="13" t="s">
        <v>107</v>
      </c>
      <c r="E5" s="12"/>
    </row>
    <row r="6" spans="1:5" ht="29" x14ac:dyDescent="0.35">
      <c r="A6" s="12" t="s">
        <v>8</v>
      </c>
      <c r="B6" s="12" t="s">
        <v>68</v>
      </c>
      <c r="C6" s="20">
        <v>5670.2</v>
      </c>
      <c r="D6" s="15" t="s">
        <v>108</v>
      </c>
      <c r="E6" s="16" t="s">
        <v>69</v>
      </c>
    </row>
    <row r="7" spans="1:5" ht="188.5" x14ac:dyDescent="0.35">
      <c r="A7" s="13" t="s">
        <v>71</v>
      </c>
      <c r="B7" s="15" t="s">
        <v>72</v>
      </c>
      <c r="C7" s="20">
        <v>4139.5</v>
      </c>
      <c r="D7" s="15" t="s">
        <v>73</v>
      </c>
      <c r="E7" s="14" t="s">
        <v>74</v>
      </c>
    </row>
    <row r="8" spans="1:5" ht="232" x14ac:dyDescent="0.35">
      <c r="A8" s="13" t="s">
        <v>76</v>
      </c>
      <c r="B8" s="13" t="s">
        <v>77</v>
      </c>
      <c r="C8" s="20">
        <v>3649.7</v>
      </c>
      <c r="D8" s="13" t="s">
        <v>73</v>
      </c>
      <c r="E8" s="14" t="s">
        <v>78</v>
      </c>
    </row>
    <row r="9" spans="1:5" x14ac:dyDescent="0.35">
      <c r="A9" s="13" t="s">
        <v>55</v>
      </c>
      <c r="B9" s="24" t="s">
        <v>98</v>
      </c>
      <c r="C9" s="20">
        <v>3595</v>
      </c>
      <c r="D9" s="68" t="s">
        <v>109</v>
      </c>
      <c r="E9" s="69"/>
    </row>
    <row r="10" spans="1:5" ht="72.5" x14ac:dyDescent="0.35">
      <c r="A10" s="13" t="s">
        <v>48</v>
      </c>
      <c r="B10" s="13"/>
      <c r="C10" s="20">
        <v>2526.3000000000002</v>
      </c>
      <c r="D10" s="13" t="s">
        <v>110</v>
      </c>
      <c r="E10" s="14" t="s">
        <v>111</v>
      </c>
    </row>
    <row r="11" spans="1:5" x14ac:dyDescent="0.35">
      <c r="A11" s="13" t="s">
        <v>94</v>
      </c>
      <c r="B11" s="13"/>
      <c r="C11" s="20">
        <v>1369</v>
      </c>
      <c r="D11" s="15" t="s">
        <v>112</v>
      </c>
      <c r="E11" s="14"/>
    </row>
    <row r="12" spans="1:5" ht="232" x14ac:dyDescent="0.35">
      <c r="A12" s="13" t="s">
        <v>26</v>
      </c>
      <c r="B12" s="13" t="s">
        <v>81</v>
      </c>
      <c r="C12" s="20">
        <v>1300.5</v>
      </c>
      <c r="D12" s="13" t="s">
        <v>73</v>
      </c>
      <c r="E12" s="14" t="s">
        <v>78</v>
      </c>
    </row>
    <row r="13" spans="1:5" ht="43.5" x14ac:dyDescent="0.35">
      <c r="A13" s="12" t="s">
        <v>45</v>
      </c>
      <c r="B13" s="12" t="s">
        <v>79</v>
      </c>
      <c r="C13" s="20">
        <v>921.6</v>
      </c>
      <c r="D13" s="15" t="s">
        <v>80</v>
      </c>
      <c r="E13" s="19" t="s">
        <v>113</v>
      </c>
    </row>
    <row r="14" spans="1:5" ht="101.5" x14ac:dyDescent="0.35">
      <c r="A14" s="12" t="s">
        <v>16</v>
      </c>
      <c r="B14" s="12" t="s">
        <v>68</v>
      </c>
      <c r="C14" s="20">
        <v>850.5</v>
      </c>
      <c r="D14" s="15" t="s">
        <v>114</v>
      </c>
      <c r="E14" s="14" t="s">
        <v>70</v>
      </c>
    </row>
  </sheetData>
  <mergeCells count="3">
    <mergeCell ref="A2:A3"/>
    <mergeCell ref="C2:C3"/>
    <mergeCell ref="D9:E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0C03-275F-4D62-BE5D-B24AA30A228B}">
  <dimension ref="A1:Q22"/>
  <sheetViews>
    <sheetView topLeftCell="C1" workbookViewId="0">
      <selection activeCell="O7" sqref="O7:Q7"/>
    </sheetView>
  </sheetViews>
  <sheetFormatPr defaultRowHeight="14.5" x14ac:dyDescent="0.35"/>
  <cols>
    <col min="5" max="5" width="12.54296875" bestFit="1" customWidth="1"/>
    <col min="6" max="6" width="21.81640625" bestFit="1" customWidth="1"/>
    <col min="8" max="8" width="9.90625" style="30" customWidth="1"/>
    <col min="15" max="15" width="17.453125" bestFit="1" customWidth="1"/>
    <col min="16" max="16" width="14.7265625" bestFit="1" customWidth="1"/>
  </cols>
  <sheetData>
    <row r="1" spans="1:17" x14ac:dyDescent="0.35">
      <c r="A1" s="70" t="s">
        <v>0</v>
      </c>
      <c r="B1" s="70" t="s">
        <v>1</v>
      </c>
      <c r="C1" s="70" t="s">
        <v>2</v>
      </c>
      <c r="D1" s="70" t="s">
        <v>3</v>
      </c>
      <c r="E1" s="1" t="s">
        <v>4</v>
      </c>
      <c r="F1" s="1" t="s">
        <v>4</v>
      </c>
      <c r="G1" s="1" t="s">
        <v>5</v>
      </c>
      <c r="H1" s="29" t="s">
        <v>6</v>
      </c>
      <c r="I1" s="1" t="s">
        <v>7</v>
      </c>
    </row>
    <row r="2" spans="1:17" x14ac:dyDescent="0.35">
      <c r="A2" s="70"/>
      <c r="B2" s="70"/>
      <c r="C2" s="70"/>
      <c r="D2" s="70"/>
      <c r="E2" s="1">
        <v>2025</v>
      </c>
      <c r="F2" s="1">
        <v>2026</v>
      </c>
      <c r="G2" s="1">
        <v>2026</v>
      </c>
      <c r="H2" s="41">
        <v>2026</v>
      </c>
      <c r="I2" s="1">
        <v>2026</v>
      </c>
    </row>
    <row r="3" spans="1:17" x14ac:dyDescent="0.35">
      <c r="A3" s="2" t="s">
        <v>8</v>
      </c>
      <c r="B3" s="43">
        <v>3763</v>
      </c>
      <c r="C3" s="2">
        <v>10.266</v>
      </c>
      <c r="D3" s="2">
        <v>14.029</v>
      </c>
      <c r="E3" s="3" t="s">
        <v>9</v>
      </c>
      <c r="F3" s="4" t="s">
        <v>10</v>
      </c>
      <c r="G3" s="5" t="s">
        <v>11</v>
      </c>
      <c r="H3" s="25">
        <v>5670.2</v>
      </c>
      <c r="I3" s="5">
        <v>11.34</v>
      </c>
    </row>
    <row r="4" spans="1:17" x14ac:dyDescent="0.35">
      <c r="A4" s="6" t="s">
        <v>12</v>
      </c>
      <c r="B4" s="43">
        <v>3453</v>
      </c>
      <c r="C4" s="6">
        <v>3.9140000000000001</v>
      </c>
      <c r="D4" s="6">
        <v>7.367</v>
      </c>
      <c r="E4" s="7" t="s">
        <v>13</v>
      </c>
      <c r="F4" s="7" t="s">
        <v>14</v>
      </c>
      <c r="G4" s="6" t="s">
        <v>15</v>
      </c>
      <c r="H4" s="26">
        <v>4139.5</v>
      </c>
      <c r="I4" s="6">
        <v>4.87</v>
      </c>
    </row>
    <row r="5" spans="1:17" x14ac:dyDescent="0.35">
      <c r="A5" s="2" t="s">
        <v>16</v>
      </c>
      <c r="B5" s="43">
        <v>632</v>
      </c>
      <c r="C5" s="2">
        <v>707</v>
      </c>
      <c r="D5" s="2">
        <v>1.339</v>
      </c>
      <c r="E5" s="3" t="s">
        <v>17</v>
      </c>
      <c r="F5" s="3" t="s">
        <v>18</v>
      </c>
      <c r="G5" s="2" t="s">
        <v>19</v>
      </c>
      <c r="H5" s="27">
        <v>850.5</v>
      </c>
      <c r="I5" s="2">
        <v>1.1339999999999999</v>
      </c>
    </row>
    <row r="6" spans="1:17" x14ac:dyDescent="0.35">
      <c r="A6" s="6" t="s">
        <v>20</v>
      </c>
      <c r="B6" s="42">
        <v>10928</v>
      </c>
      <c r="C6" s="6">
        <v>6.4320000000000004</v>
      </c>
      <c r="D6" s="6">
        <v>17.36</v>
      </c>
      <c r="E6" s="7" t="s">
        <v>21</v>
      </c>
      <c r="F6" s="7" t="s">
        <v>18</v>
      </c>
      <c r="G6" s="6" t="s">
        <v>22</v>
      </c>
      <c r="H6" s="26">
        <v>13090.7</v>
      </c>
      <c r="I6" s="6">
        <v>17.454000000000001</v>
      </c>
      <c r="O6" t="s">
        <v>168</v>
      </c>
      <c r="P6" t="s">
        <v>169</v>
      </c>
      <c r="Q6" t="s">
        <v>65</v>
      </c>
    </row>
    <row r="7" spans="1:17" x14ac:dyDescent="0.35">
      <c r="A7" s="2" t="s">
        <v>23</v>
      </c>
      <c r="B7" s="43">
        <v>4816</v>
      </c>
      <c r="C7" s="2">
        <v>2.669</v>
      </c>
      <c r="D7" s="2">
        <v>7.4850000000000003</v>
      </c>
      <c r="E7" s="3" t="s">
        <v>24</v>
      </c>
      <c r="F7" s="3" t="s">
        <v>18</v>
      </c>
      <c r="G7" s="2" t="s">
        <v>25</v>
      </c>
      <c r="H7" s="27">
        <v>6955.8</v>
      </c>
      <c r="I7" s="2">
        <v>9.2739999999999991</v>
      </c>
    </row>
    <row r="8" spans="1:17" x14ac:dyDescent="0.35">
      <c r="A8" s="6" t="s">
        <v>26</v>
      </c>
      <c r="B8" s="42">
        <v>1180</v>
      </c>
      <c r="C8" s="6">
        <v>350</v>
      </c>
      <c r="D8" s="6">
        <v>1.53</v>
      </c>
      <c r="E8" s="7" t="s">
        <v>27</v>
      </c>
      <c r="F8" s="7" t="s">
        <v>14</v>
      </c>
      <c r="G8" s="6" t="s">
        <v>28</v>
      </c>
      <c r="H8" s="26">
        <v>1300.5</v>
      </c>
      <c r="I8" s="6">
        <v>1.53</v>
      </c>
    </row>
    <row r="9" spans="1:17" x14ac:dyDescent="0.35">
      <c r="A9" s="2" t="s">
        <v>29</v>
      </c>
      <c r="B9" s="43">
        <v>3202</v>
      </c>
      <c r="C9" s="2">
        <v>1.091</v>
      </c>
      <c r="D9" s="2">
        <v>4.2939999999999996</v>
      </c>
      <c r="E9" s="3" t="s">
        <v>30</v>
      </c>
      <c r="F9" s="3" t="s">
        <v>14</v>
      </c>
      <c r="G9" s="2" t="s">
        <v>31</v>
      </c>
      <c r="H9" s="27">
        <v>3649.7</v>
      </c>
      <c r="I9" s="2">
        <v>4.2939999999999996</v>
      </c>
    </row>
    <row r="10" spans="1:17" x14ac:dyDescent="0.35">
      <c r="A10" s="8" t="s">
        <v>32</v>
      </c>
      <c r="B10" s="8">
        <v>27974</v>
      </c>
      <c r="C10" s="8">
        <v>25.428999999999998</v>
      </c>
      <c r="D10" s="8">
        <v>53.402999999999999</v>
      </c>
      <c r="E10" s="9" t="s">
        <v>33</v>
      </c>
      <c r="F10" s="9" t="s">
        <v>34</v>
      </c>
      <c r="G10" s="8" t="s">
        <v>35</v>
      </c>
      <c r="H10" s="11">
        <v>35656.86</v>
      </c>
      <c r="I10" s="8">
        <v>49.896999999999998</v>
      </c>
    </row>
    <row r="11" spans="1:17" x14ac:dyDescent="0.35">
      <c r="A11" s="10"/>
      <c r="B11" s="10"/>
      <c r="C11" s="10"/>
      <c r="D11" s="10"/>
      <c r="E11" s="2" t="s">
        <v>36</v>
      </c>
      <c r="F11" s="10"/>
      <c r="G11" s="10"/>
      <c r="H11" s="28"/>
      <c r="I11" s="10"/>
    </row>
    <row r="12" spans="1:17" x14ac:dyDescent="0.35">
      <c r="A12" s="2" t="s">
        <v>37</v>
      </c>
      <c r="B12" s="43">
        <v>36.944000000000003</v>
      </c>
      <c r="C12" s="2">
        <v>48.253</v>
      </c>
      <c r="D12" s="2">
        <v>85.197000000000003</v>
      </c>
      <c r="E12" s="3" t="s">
        <v>38</v>
      </c>
      <c r="F12" s="3" t="s">
        <v>39</v>
      </c>
      <c r="G12" s="5" t="s">
        <v>40</v>
      </c>
      <c r="H12" s="25">
        <v>50358.6</v>
      </c>
      <c r="I12" s="5">
        <v>83.930999999999997</v>
      </c>
    </row>
    <row r="13" spans="1:17" x14ac:dyDescent="0.35">
      <c r="A13" s="6" t="s">
        <v>41</v>
      </c>
      <c r="B13" s="43">
        <v>20.434000000000001</v>
      </c>
      <c r="C13" s="6">
        <v>285</v>
      </c>
      <c r="D13" s="6">
        <v>20.719000000000001</v>
      </c>
      <c r="E13" s="7" t="s">
        <v>42</v>
      </c>
      <c r="F13" s="7" t="s">
        <v>43</v>
      </c>
      <c r="G13" s="6" t="s">
        <v>44</v>
      </c>
      <c r="H13" s="26">
        <v>21958</v>
      </c>
      <c r="I13" s="6">
        <v>21.957999999999998</v>
      </c>
    </row>
    <row r="14" spans="1:17" x14ac:dyDescent="0.35">
      <c r="A14" s="2" t="s">
        <v>45</v>
      </c>
      <c r="B14" s="42">
        <v>1.0740000000000001</v>
      </c>
      <c r="C14" s="2">
        <v>835</v>
      </c>
      <c r="D14" s="2">
        <v>1.536</v>
      </c>
      <c r="E14" s="3" t="s">
        <v>46</v>
      </c>
      <c r="F14" s="3" t="s">
        <v>39</v>
      </c>
      <c r="G14" s="5" t="s">
        <v>47</v>
      </c>
      <c r="H14" s="25">
        <v>921.6</v>
      </c>
      <c r="I14" s="5">
        <v>1.536</v>
      </c>
    </row>
    <row r="15" spans="1:17" x14ac:dyDescent="0.35">
      <c r="A15" s="6" t="s">
        <v>48</v>
      </c>
      <c r="B15" s="43">
        <v>1.9419999999999999</v>
      </c>
      <c r="C15" s="6">
        <v>318</v>
      </c>
      <c r="D15" s="6">
        <v>2.774</v>
      </c>
      <c r="E15" s="7" t="s">
        <v>49</v>
      </c>
      <c r="F15" s="7" t="s">
        <v>49</v>
      </c>
      <c r="G15" s="6" t="s">
        <v>50</v>
      </c>
      <c r="H15" s="26">
        <v>2526.3000000000002</v>
      </c>
      <c r="I15" s="6">
        <v>3.609</v>
      </c>
    </row>
    <row r="16" spans="1:17" x14ac:dyDescent="0.35">
      <c r="A16" s="8" t="s">
        <v>51</v>
      </c>
      <c r="B16" s="8">
        <v>60.393000000000001</v>
      </c>
      <c r="C16" s="8">
        <v>49.691000000000003</v>
      </c>
      <c r="D16" s="8">
        <v>110.226</v>
      </c>
      <c r="E16" s="9" t="s">
        <v>52</v>
      </c>
      <c r="F16" s="9" t="s">
        <v>53</v>
      </c>
      <c r="G16" s="8" t="s">
        <v>54</v>
      </c>
      <c r="H16" s="11">
        <v>75764.5</v>
      </c>
      <c r="I16" s="8">
        <v>111.03400000000001</v>
      </c>
    </row>
    <row r="17" spans="1:9" x14ac:dyDescent="0.35">
      <c r="A17" s="10"/>
      <c r="B17" s="10"/>
      <c r="C17" s="10"/>
      <c r="D17" s="10"/>
      <c r="E17" s="10"/>
      <c r="F17" s="10"/>
      <c r="G17" s="10"/>
      <c r="H17" s="28"/>
      <c r="I17" s="10"/>
    </row>
    <row r="18" spans="1:9" x14ac:dyDescent="0.35">
      <c r="A18" s="6" t="s">
        <v>55</v>
      </c>
      <c r="B18" s="6">
        <v>3.5950000000000002</v>
      </c>
      <c r="C18" s="6">
        <v>0</v>
      </c>
      <c r="D18" s="6">
        <v>3.5950000000000002</v>
      </c>
      <c r="E18" s="7" t="s">
        <v>43</v>
      </c>
      <c r="F18" s="9" t="s">
        <v>43</v>
      </c>
      <c r="G18" s="8" t="s">
        <v>56</v>
      </c>
      <c r="H18" s="11">
        <v>3595</v>
      </c>
      <c r="I18" s="8">
        <v>3.5950000000000002</v>
      </c>
    </row>
    <row r="19" spans="1:9" x14ac:dyDescent="0.35">
      <c r="A19" s="6" t="s">
        <v>57</v>
      </c>
      <c r="B19" s="6">
        <v>2.5739999999999998</v>
      </c>
      <c r="C19" s="6">
        <v>164</v>
      </c>
      <c r="D19" s="6">
        <v>2.738</v>
      </c>
      <c r="E19" s="7" t="s">
        <v>58</v>
      </c>
      <c r="F19" s="9" t="s">
        <v>10</v>
      </c>
      <c r="G19" s="8" t="s">
        <v>59</v>
      </c>
      <c r="H19" s="11">
        <v>1369</v>
      </c>
      <c r="I19" s="8">
        <v>2.738</v>
      </c>
    </row>
    <row r="20" spans="1:9" x14ac:dyDescent="0.35">
      <c r="A20" s="10"/>
      <c r="B20" s="10"/>
      <c r="C20" s="10"/>
      <c r="D20" s="10"/>
      <c r="E20" s="10"/>
      <c r="F20" s="10"/>
      <c r="G20" s="10"/>
      <c r="H20" s="28"/>
      <c r="I20" s="10"/>
    </row>
    <row r="21" spans="1:9" x14ac:dyDescent="0.35">
      <c r="A21" s="8" t="s">
        <v>60</v>
      </c>
      <c r="B21" s="8">
        <v>94.536000000000001</v>
      </c>
      <c r="C21" s="8">
        <v>75.284999999999997</v>
      </c>
      <c r="D21" s="8">
        <v>169.82</v>
      </c>
      <c r="E21" s="9" t="s">
        <v>61</v>
      </c>
      <c r="F21" s="9" t="s">
        <v>62</v>
      </c>
      <c r="G21" s="8" t="s">
        <v>63</v>
      </c>
      <c r="H21" s="11">
        <v>116385.36</v>
      </c>
      <c r="I21" s="8">
        <v>167.26400000000001</v>
      </c>
    </row>
    <row r="22" spans="1:9" x14ac:dyDescent="0.35">
      <c r="H22" s="30">
        <f>SUM(H3:H19)</f>
        <v>227806.76</v>
      </c>
    </row>
  </sheetData>
  <mergeCells count="4">
    <mergeCell ref="A1:A2"/>
    <mergeCell ref="B1:B2"/>
    <mergeCell ref="C1:C2"/>
    <mergeCell ref="D1: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CBCB-249D-470E-852E-8D7D17B30F35}">
  <dimension ref="K6:O9"/>
  <sheetViews>
    <sheetView showGridLines="0" topLeftCell="C1" zoomScale="130" zoomScaleNormal="130" workbookViewId="0">
      <selection activeCell="L12" sqref="L12"/>
    </sheetView>
  </sheetViews>
  <sheetFormatPr defaultRowHeight="14.5" x14ac:dyDescent="0.35"/>
  <cols>
    <col min="14" max="14" width="14.90625" bestFit="1" customWidth="1"/>
  </cols>
  <sheetData>
    <row r="6" spans="11:15" x14ac:dyDescent="0.35">
      <c r="K6" t="s">
        <v>183</v>
      </c>
      <c r="N6" t="s">
        <v>185</v>
      </c>
      <c r="O6" t="s">
        <v>187</v>
      </c>
    </row>
    <row r="7" spans="11:15" x14ac:dyDescent="0.35">
      <c r="K7" t="s">
        <v>184</v>
      </c>
      <c r="N7" t="s">
        <v>189</v>
      </c>
      <c r="O7" t="s">
        <v>191</v>
      </c>
    </row>
    <row r="8" spans="11:15" x14ac:dyDescent="0.35">
      <c r="N8" t="s">
        <v>190</v>
      </c>
      <c r="O8" t="s">
        <v>188</v>
      </c>
    </row>
    <row r="9" spans="11:15" x14ac:dyDescent="0.35">
      <c r="N9" t="s">
        <v>186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D5AA3C1F41E24B81C714939439F676" ma:contentTypeVersion="17" ma:contentTypeDescription="Create a new document." ma:contentTypeScope="" ma:versionID="f0899c617235f393dbd791a0d93d42c8">
  <xsd:schema xmlns:xsd="http://www.w3.org/2001/XMLSchema" xmlns:xs="http://www.w3.org/2001/XMLSchema" xmlns:p="http://schemas.microsoft.com/office/2006/metadata/properties" xmlns:ns2="9783fbdb-128e-4d48-9ac0-b87492be27dd" xmlns:ns3="d8e2af5d-43e5-48e4-8670-cdfec9b8eb21" targetNamespace="http://schemas.microsoft.com/office/2006/metadata/properties" ma:root="true" ma:fieldsID="4460604645cbfab0dde84369923c6d81" ns2:_="" ns3:_="">
    <xsd:import namespace="9783fbdb-128e-4d48-9ac0-b87492be27dd"/>
    <xsd:import namespace="d8e2af5d-43e5-48e4-8670-cdfec9b8eb2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83fbdb-128e-4d48-9ac0-b87492be2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e2deea9-f698-482e-8f77-105b59b605fe"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e2af5d-43e5-48e4-8670-cdfec9b8eb2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638ba31-7e67-4641-80ec-ff24d0b8c4e2}" ma:internalName="TaxCatchAll" ma:showField="CatchAllData" ma:web="d8e2af5d-43e5-48e4-8670-cdfec9b8eb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783fbdb-128e-4d48-9ac0-b87492be27dd">
      <Terms xmlns="http://schemas.microsoft.com/office/infopath/2007/PartnerControls"/>
    </lcf76f155ced4ddcb4097134ff3c332f>
    <TaxCatchAll xmlns="d8e2af5d-43e5-48e4-8670-cdfec9b8eb21" xsi:nil="true"/>
  </documentManagement>
</p:properties>
</file>

<file path=customXml/itemProps1.xml><?xml version="1.0" encoding="utf-8"?>
<ds:datastoreItem xmlns:ds="http://schemas.openxmlformats.org/officeDocument/2006/customXml" ds:itemID="{E63C5C27-268B-4A10-9E83-7C384203BC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83fbdb-128e-4d48-9ac0-b87492be27dd"/>
    <ds:schemaRef ds:uri="d8e2af5d-43e5-48e4-8670-cdfec9b8eb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80E2E8-021A-4214-9F91-C185480E70FB}">
  <ds:schemaRefs>
    <ds:schemaRef ds:uri="http://schemas.microsoft.com/sharepoint/v3/contenttype/forms"/>
  </ds:schemaRefs>
</ds:datastoreItem>
</file>

<file path=customXml/itemProps3.xml><?xml version="1.0" encoding="utf-8"?>
<ds:datastoreItem xmlns:ds="http://schemas.openxmlformats.org/officeDocument/2006/customXml" ds:itemID="{147D9C34-BE78-425C-A218-C05E6E90F7EB}">
  <ds:schemaRefs>
    <ds:schemaRef ds:uri="http://schemas.openxmlformats.org/package/2006/metadata/core-properties"/>
    <ds:schemaRef ds:uri="http://schemas.microsoft.com/office/2006/metadata/properties"/>
    <ds:schemaRef ds:uri="http://schemas.microsoft.com/office/2006/documentManagement/types"/>
    <ds:schemaRef ds:uri="d3ece099-a8a2-4190-a518-5e657c597f19"/>
    <ds:schemaRef ds:uri="http://purl.org/dc/dcmitype/"/>
    <ds:schemaRef ds:uri="http://purl.org/dc/elements/1.1/"/>
    <ds:schemaRef ds:uri="http://schemas.microsoft.com/office/infopath/2007/PartnerControls"/>
    <ds:schemaRef ds:uri="http://www.w3.org/XML/1998/namespace"/>
    <ds:schemaRef ds:uri="http://purl.org/dc/terms/"/>
    <ds:schemaRef ds:uri="9783fbdb-128e-4d48-9ac0-b87492be27dd"/>
    <ds:schemaRef ds:uri="d8e2af5d-43e5-48e4-8670-cdfec9b8eb21"/>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Pricing formula_Updated</vt:lpstr>
      <vt:lpstr>Pricing formula overview</vt:lpstr>
      <vt:lpstr>Queries</vt:lpstr>
      <vt:lpstr>Formula description</vt:lpstr>
      <vt:lpstr>Volume by countries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Chellakannan, Muthukumaaran</dc:creator>
  <cp:keywords/>
  <dc:description/>
  <cp:lastModifiedBy>Murugan Narendhra Kumar</cp:lastModifiedBy>
  <cp:revision/>
  <dcterms:created xsi:type="dcterms:W3CDTF">2026-01-05T09:45:16Z</dcterms:created>
  <dcterms:modified xsi:type="dcterms:W3CDTF">2026-05-14T11:30:06Z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0x01010054D5AA3C1F41E24B81C714939439F676</vt:lpwstr>
  </property>
  <property fmtid="{D5CDD505-2E9C-101B-9397-08002B2CF9AE}" pid="3" name="MSIP_Label_68104b14-b53d-46de-9ae8-975cc0e84815_Enabled">
    <vt:lpwstr>true</vt:lpwstr>
  </property>
  <property fmtid="{D5CDD505-2E9C-101B-9397-08002B2CF9AE}" pid="4" name="MSIP_Label_68104b14-b53d-46de-9ae8-975cc0e84815_SetDate">
    <vt:lpwstr>2026-03-13T13:46:27Z</vt:lpwstr>
  </property>
  <property fmtid="{D5CDD505-2E9C-101B-9397-08002B2CF9AE}" pid="5" name="MSIP_Label_68104b14-b53d-46de-9ae8-975cc0e84815_Method">
    <vt:lpwstr>Standard</vt:lpwstr>
  </property>
  <property fmtid="{D5CDD505-2E9C-101B-9397-08002B2CF9AE}" pid="6" name="MSIP_Label_68104b14-b53d-46de-9ae8-975cc0e84815_Name">
    <vt:lpwstr>ABI_MIP_InternalUseOnly</vt:lpwstr>
  </property>
  <property fmtid="{D5CDD505-2E9C-101B-9397-08002B2CF9AE}" pid="7" name="MSIP_Label_68104b14-b53d-46de-9ae8-975cc0e84815_SiteId">
    <vt:lpwstr>cef04b19-7776-4a94-b89b-375c77a8f936</vt:lpwstr>
  </property>
  <property fmtid="{D5CDD505-2E9C-101B-9397-08002B2CF9AE}" pid="8" name="MSIP_Label_68104b14-b53d-46de-9ae8-975cc0e84815_ActionId">
    <vt:lpwstr>bc4c62be-e983-4dd8-89b3-5e96ec560e16</vt:lpwstr>
  </property>
  <property fmtid="{D5CDD505-2E9C-101B-9397-08002B2CF9AE}" pid="9" name="MSIP_Label_68104b14-b53d-46de-9ae8-975cc0e84815_ContentBits">
    <vt:lpwstr>0</vt:lpwstr>
  </property>
  <property fmtid="{D5CDD505-2E9C-101B-9397-08002B2CF9AE}" pid="10" name="MSIP_Label_68104b14-b53d-46de-9ae8-975cc0e84815_Tag">
    <vt:lpwstr>10, 3, 0, 1</vt:lpwstr>
  </property>
</Properties>
</file>