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menon_yajas-ext_ab-inbev_com/Documents/Microsoft Teams Chat Files/"/>
    </mc:Choice>
  </mc:AlternateContent>
  <xr:revisionPtr revIDLastSave="0" documentId="8_{B3B574C2-40D0-4771-BC0B-15BAC817A5C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uals_Reference" sheetId="1" r:id="rId1"/>
    <sheet name="Summary_Opportunity" sheetId="2" r:id="rId2"/>
    <sheet name="Argentina" sheetId="3" r:id="rId3"/>
    <sheet name="Bolivia" sheetId="4" r:id="rId4"/>
    <sheet name="Brazil" sheetId="5" r:id="rId5"/>
    <sheet name="Colombia" sheetId="6" r:id="rId6"/>
    <sheet name="Dominican Republic" sheetId="7" r:id="rId7"/>
    <sheet name="Ecuador" sheetId="8" r:id="rId8"/>
    <sheet name="El Salvador" sheetId="9" r:id="rId9"/>
    <sheet name="Honduras" sheetId="10" r:id="rId10"/>
    <sheet name="Panama" sheetId="11" r:id="rId11"/>
    <sheet name="Peru" sheetId="12" r:id="rId12"/>
    <sheet name="Uruguay" sheetId="13" r:id="rId13"/>
  </sheets>
  <definedNames>
    <definedName name="_xlnm._FilterDatabase" localSheetId="2" hidden="1">Argentina!$A$2:$L$9</definedName>
    <definedName name="_xlnm._FilterDatabase" localSheetId="3" hidden="1">Bolivia!$A$2:$L$9</definedName>
    <definedName name="_xlnm._FilterDatabase" localSheetId="4" hidden="1">Brazil!$A$2:$L$31</definedName>
    <definedName name="_xlnm._FilterDatabase" localSheetId="5" hidden="1">Colombia!$A$2:$L$9</definedName>
    <definedName name="_xlnm._FilterDatabase" localSheetId="6" hidden="1">'Dominican Republic'!$A$2:$L$9</definedName>
    <definedName name="_xlnm._FilterDatabase" localSheetId="7" hidden="1">Ecuador!$A$2:$L$9</definedName>
    <definedName name="_xlnm._FilterDatabase" localSheetId="8" hidden="1">'El Salvador'!$A$2:$L$9</definedName>
    <definedName name="_xlnm._FilterDatabase" localSheetId="9" hidden="1">Honduras!$A$2:$L$9</definedName>
    <definedName name="_xlnm._FilterDatabase" localSheetId="10" hidden="1">Panama!$A$2:$L$9</definedName>
    <definedName name="_xlnm._FilterDatabase" localSheetId="11" hidden="1">Peru!$A$2:$L$9</definedName>
    <definedName name="_xlnm._FilterDatabase" localSheetId="1" hidden="1">Summary_Opportunity!$A$1:$U$15</definedName>
    <definedName name="_xlnm._FilterDatabase" localSheetId="12" hidden="1">Uruguay!$A$2:$L$10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2" i="1"/>
  <c r="J11" i="1"/>
  <c r="J10" i="1"/>
  <c r="J9" i="1"/>
  <c r="J8" i="1"/>
  <c r="J7" i="1"/>
  <c r="J6" i="1"/>
  <c r="J5" i="1"/>
  <c r="J4" i="1"/>
  <c r="J3" i="1"/>
  <c r="J2" i="1"/>
  <c r="E21" i="1"/>
  <c r="E19" i="1"/>
  <c r="E18" i="1"/>
  <c r="E17" i="1"/>
  <c r="E16" i="1"/>
  <c r="F11" i="1"/>
  <c r="H11" i="1" s="1"/>
  <c r="F10" i="1"/>
  <c r="H10" i="1" s="1"/>
  <c r="H9" i="1"/>
  <c r="F9" i="1"/>
  <c r="F8" i="1"/>
  <c r="H8" i="1" s="1"/>
  <c r="F7" i="1"/>
  <c r="H7" i="1" s="1"/>
  <c r="F6" i="1"/>
  <c r="H6" i="1" s="1"/>
  <c r="F5" i="1"/>
  <c r="H5" i="1" s="1"/>
  <c r="F4" i="1"/>
  <c r="H4" i="1" s="1"/>
  <c r="F3" i="1"/>
  <c r="H3" i="1" s="1"/>
  <c r="F2" i="1"/>
  <c r="H2" i="1" s="1"/>
</calcChain>
</file>

<file path=xl/sharedStrings.xml><?xml version="1.0" encoding="utf-8"?>
<sst xmlns="http://schemas.openxmlformats.org/spreadsheetml/2006/main" count="968" uniqueCount="203">
  <si>
    <t>Destination</t>
  </si>
  <si>
    <t>Supplier/location</t>
  </si>
  <si>
    <t>Volume</t>
  </si>
  <si>
    <t>Actual TLC ($/MT)</t>
  </si>
  <si>
    <t>Volume × TLC</t>
  </si>
  <si>
    <t xml:space="preserve">PET Preforms  25 Spend </t>
  </si>
  <si>
    <t xml:space="preserve">Opportunity </t>
  </si>
  <si>
    <t xml:space="preserve">% of Total </t>
  </si>
  <si>
    <t>Colombia</t>
  </si>
  <si>
    <t>Amcor</t>
  </si>
  <si>
    <t>Dominican Republic</t>
  </si>
  <si>
    <t>SMI PET</t>
  </si>
  <si>
    <t>Ecuador</t>
  </si>
  <si>
    <t>El Salvador</t>
  </si>
  <si>
    <t>Honduras</t>
  </si>
  <si>
    <t>Panama</t>
  </si>
  <si>
    <t>Pastiglas</t>
  </si>
  <si>
    <t>Peru</t>
  </si>
  <si>
    <t>Argentina</t>
  </si>
  <si>
    <t>Bolivia</t>
  </si>
  <si>
    <t>Gestora</t>
  </si>
  <si>
    <t>Uruguay</t>
  </si>
  <si>
    <t>Cristalpet</t>
  </si>
  <si>
    <t>Brazil Supplier Scenarios</t>
  </si>
  <si>
    <t>Amcor – Manaus</t>
  </si>
  <si>
    <t>Amcor – Suape</t>
  </si>
  <si>
    <t>Engepack</t>
  </si>
  <si>
    <t>Valgroup</t>
  </si>
  <si>
    <t>NA</t>
  </si>
  <si>
    <t>Destination Country</t>
  </si>
  <si>
    <t>Current Supplier / Location</t>
  </si>
  <si>
    <t>Supplier Period</t>
  </si>
  <si>
    <t>Supplier Data Type</t>
  </si>
  <si>
    <t>Current Supplier TLC ($/MT)</t>
  </si>
  <si>
    <t>Selected Alternative Source Country</t>
  </si>
  <si>
    <t>Market Period</t>
  </si>
  <si>
    <t>Market Data Type</t>
  </si>
  <si>
    <t>Lowest Alternative Market TLC ($/MT)</t>
  </si>
  <si>
    <t>Market - Supplier TLC Delta ($/MT)</t>
  </si>
  <si>
    <t>Current Supplier Spend ($)</t>
  </si>
  <si>
    <t>Alternative Market Spend ($)</t>
  </si>
  <si>
    <t>Estimated Opportunity / (Cost Increase) ($)</t>
  </si>
  <si>
    <t>Status</t>
  </si>
  <si>
    <t>Route Selection Rule</t>
  </si>
  <si>
    <t>Primary Cost Driver</t>
  </si>
  <si>
    <t>Supplier Driver Cost ($/MT)</t>
  </si>
  <si>
    <t>Market Driver Cost ($/MT)</t>
  </si>
  <si>
    <t>Driver Gap: Supplier - Market ($/MT)</t>
  </si>
  <si>
    <t>Driver Interpretation</t>
  </si>
  <si>
    <t>August 2026</t>
  </si>
  <si>
    <t>Actual</t>
  </si>
  <si>
    <t>China</t>
  </si>
  <si>
    <t>SAVINGS OPPORTUNITY</t>
  </si>
  <si>
    <t>Most negative Market - Supplier delta</t>
  </si>
  <si>
    <t>Freight</t>
  </si>
  <si>
    <t>Supplier higher by $211.30/MT</t>
  </si>
  <si>
    <t>USA</t>
  </si>
  <si>
    <t>Supplier higher by $148.30/MT</t>
  </si>
  <si>
    <t>Local Taxes &amp; Fees</t>
  </si>
  <si>
    <t>Supplier higher by $136.10/MT</t>
  </si>
  <si>
    <t>Supplier higher by $90.90/MT</t>
  </si>
  <si>
    <t>COST INCREASE</t>
  </si>
  <si>
    <t>Lowest positive Market - Supplier delta</t>
  </si>
  <si>
    <t>Resin Index</t>
  </si>
  <si>
    <t>Market higher by $157.10/MT</t>
  </si>
  <si>
    <t>Supplier higher by $55.00/MT</t>
  </si>
  <si>
    <t>Market higher by $73.80/MT</t>
  </si>
  <si>
    <t>Brazil</t>
  </si>
  <si>
    <t>Supplier higher by $451.90/MT</t>
  </si>
  <si>
    <t>Logistics &amp; Other Costs</t>
  </si>
  <si>
    <t>Supplier higher by $156.00/MT</t>
  </si>
  <si>
    <t>Supplier higher by $278.90/MT</t>
  </si>
  <si>
    <t>Supplier higher by $251.10/MT</t>
  </si>
  <si>
    <t>Duty &amp; Import Taxes</t>
  </si>
  <si>
    <t>Supplier higher by $238.30/MT</t>
  </si>
  <si>
    <t>Supplier higher by $243.10/MT</t>
  </si>
  <si>
    <t>Supplier higher by $337.70/MT</t>
  </si>
  <si>
    <t>Argentina — Sourcing Opportunity Component Breakdown — August 2026</t>
  </si>
  <si>
    <t>Common Component</t>
  </si>
  <si>
    <t>Market Research ($/MT)</t>
  </si>
  <si>
    <t>Supplier ($/MT)</t>
  </si>
  <si>
    <t>Difference: Market - Supplier ($/MT)</t>
  </si>
  <si>
    <t>Calculation</t>
  </si>
  <si>
    <t>Impact: (Market - Supplier) × Volume ($)</t>
  </si>
  <si>
    <t>Savings Contribution: (Supplier - Market) × Volume ($)</t>
  </si>
  <si>
    <t>Interpretation</t>
  </si>
  <si>
    <t>+152.76 × 18,925 = +2,890,983.00</t>
  </si>
  <si>
    <t>Offsets savings / increases cost</t>
  </si>
  <si>
    <t>-451.91 × 18,925 = -8,552,379.55</t>
  </si>
  <si>
    <t>Savings contribution</t>
  </si>
  <si>
    <t>Insurance</t>
  </si>
  <si>
    <t>+5.08 × 18,925 = +96,052.01</t>
  </si>
  <si>
    <t>+48.22 × 18,925 = +912,521.66</t>
  </si>
  <si>
    <t>-229.00 × 18,925 = -4,333,825.00</t>
  </si>
  <si>
    <t>+0.00 × 18,925 = +0.00</t>
  </si>
  <si>
    <t>No impact</t>
  </si>
  <si>
    <t>Total Landed Cost (PET Resin)</t>
  </si>
  <si>
    <t>-474.86 × 18,925 = -8,986,647.87</t>
  </si>
  <si>
    <t>Total savings opportunity</t>
  </si>
  <si>
    <t>Bolivia — Sourcing Opportunity Component Breakdown — August 2026</t>
  </si>
  <si>
    <t>+0.00 × 2,500 = +0.00</t>
  </si>
  <si>
    <t>+4.68 × 2,500 = +11,704.55</t>
  </si>
  <si>
    <t>+5.08 × 2,500 = +12,706.82</t>
  </si>
  <si>
    <t>-82.29 × 2,500 = -205,725.00</t>
  </si>
  <si>
    <t>-156.00 × 2,500 = -390,000.00</t>
  </si>
  <si>
    <t>-228.53 × 2,500 = -571,313.64</t>
  </si>
  <si>
    <t>Brazil — Sourcing Opportunity Component Breakdown — August 2026</t>
  </si>
  <si>
    <t>+145.80 × 16,912 = +2,465,769.60</t>
  </si>
  <si>
    <t>-251.04 × 16,912 = -4,245,588.48</t>
  </si>
  <si>
    <t>+4.68 × 16,912 = +79,211.75</t>
  </si>
  <si>
    <t>-242.44 × 16,912 = -4,100,145.28</t>
  </si>
  <si>
    <t>+0.00 × 16,912 = +0.00</t>
  </si>
  <si>
    <t>-167.00 × 16,912 = -2,824,304.00</t>
  </si>
  <si>
    <t>-510.00 × 16,912 = -8,625,056.41</t>
  </si>
  <si>
    <t>-231.04 × 16,912 = -3,907,348.48</t>
  </si>
  <si>
    <t>-238.28 × 16,912 = -4,029,791.36</t>
  </si>
  <si>
    <t>-485.84 × 16,912 = -8,216,462.49</t>
  </si>
  <si>
    <t>+145.80 × 9,641 = +1,405,657.80</t>
  </si>
  <si>
    <t>-186.68 × 9,641 = -1,799,781.88</t>
  </si>
  <si>
    <t>+4.68 × 9,641 = +45,156.13</t>
  </si>
  <si>
    <t>-239.36 × 9,641 = -2,307,708.32</t>
  </si>
  <si>
    <t>+0.00 × 9,641 = +0.00</t>
  </si>
  <si>
    <t>-243.07 × 9,641 = -2,343,395.45</t>
  </si>
  <si>
    <t>-518.63 × 9,641 = -5,000,071.72</t>
  </si>
  <si>
    <t>+59.80 × 27,922 = +1,669,735.60</t>
  </si>
  <si>
    <t>-214.45 × 27,922 = -5,987,872.90</t>
  </si>
  <si>
    <t>+4.68 × 27,922 = +130,779.95</t>
  </si>
  <si>
    <t>+23.00 × 27,922 = +642,206.00</t>
  </si>
  <si>
    <t>-337.69 × 27,922 = -9,428,851.74</t>
  </si>
  <si>
    <t>-33.20 × 27,922 = -927,010.40</t>
  </si>
  <si>
    <t>Stored TLC / rounding adjustment</t>
  </si>
  <si>
    <t>-0.004600 × 27,922 = -128.44</t>
  </si>
  <si>
    <t>Reconciles calculated components to the stored TLC</t>
  </si>
  <si>
    <t>-497.86 × 27,922 = -13,901,141.93</t>
  </si>
  <si>
    <t>Brazil Spend Validation — Amcor Location Scenarios</t>
  </si>
  <si>
    <t>The displayed $121,308,886.91 sums both Amcor Manaus and Suape, double-counting the same 16,912 MT Amcor volume. Use only one Amcor scenario.</t>
  </si>
  <si>
    <t>Metric</t>
  </si>
  <si>
    <t>Manaus Scenario</t>
  </si>
  <si>
    <t>Suape Scenario</t>
  </si>
  <si>
    <t>Unique Brazil supplier volume (MT)</t>
  </si>
  <si>
    <t>Current supplier spend ($)</t>
  </si>
  <si>
    <t>Alternative market spend ($)</t>
  </si>
  <si>
    <t>Estimated sourcing opportunity ($)</t>
  </si>
  <si>
    <t>Weighted current supplier TLC ($/MT)</t>
  </si>
  <si>
    <t>Colombia — Sourcing Opportunity Component Breakdown — August 2026</t>
  </si>
  <si>
    <t>+0.00 × 7,748 = +0.00</t>
  </si>
  <si>
    <t>-211.27 × 7,748 = -1,636,941.09</t>
  </si>
  <si>
    <t>+4.77 × 7,748 = +36,965.00</t>
  </si>
  <si>
    <t>-70.20 × 7,748 = -543,909.60</t>
  </si>
  <si>
    <t>-112.36 × 7,748 = -870,565.28</t>
  </si>
  <si>
    <t>-389.06 × 7,748 = -3,014,450.97</t>
  </si>
  <si>
    <t>Dominican Republic — Sourcing Opportunity Component Breakdown — August 2026</t>
  </si>
  <si>
    <t>+97.76 × 3,331 = +325,638.56</t>
  </si>
  <si>
    <t>-148.34 × 3,331 = -494,123.57</t>
  </si>
  <si>
    <t>+5.25 × 3,331 = +17,503.33</t>
  </si>
  <si>
    <t>+0.00 × 3,331 = +0.00</t>
  </si>
  <si>
    <t>-58.72 × 3,331 = -195,610.66</t>
  </si>
  <si>
    <t>-104.05 × 3,331 = -346,592.34</t>
  </si>
  <si>
    <t>Ecuador — Sourcing Opportunity Component Breakdown — August 2026</t>
  </si>
  <si>
    <t>+0.00 × 1,287 = +0.00</t>
  </si>
  <si>
    <t>-50.73 × 1,287 = -65,286.00</t>
  </si>
  <si>
    <t>+5.24 × 1,287 = +6,740.14</t>
  </si>
  <si>
    <t>+6.57 × 1,287 = +8,458.87</t>
  </si>
  <si>
    <t>-136.08 × 1,287 = -175,134.96</t>
  </si>
  <si>
    <t>-175.00 × 1,287 = -225,221.95</t>
  </si>
  <si>
    <t>El Salvador — Sourcing Opportunity Component Breakdown — August 2026</t>
  </si>
  <si>
    <t>+157.10 × 8,360 = +1,313,356.00</t>
  </si>
  <si>
    <t>-90.86 × 8,360 = -759,620.00</t>
  </si>
  <si>
    <t>-50.27 × 8,360 = -420,242.61</t>
  </si>
  <si>
    <t>+0.00 × 8,360 = +0.00</t>
  </si>
  <si>
    <t>-46.84 × 8,360 = -391,582.40</t>
  </si>
  <si>
    <t>-30.87 × 8,360 = -258,089.01</t>
  </si>
  <si>
    <t>Honduras — Sourcing Opportunity Component Breakdown — August 2026</t>
  </si>
  <si>
    <t>+157.10 × 16,710 = +2,625,141.00</t>
  </si>
  <si>
    <t>-90.86 × 16,710 = -1,518,331.36</t>
  </si>
  <si>
    <t>-50.27 × 16,710 = -839,982.53</t>
  </si>
  <si>
    <t>+0.00 × 16,710 = +0.00</t>
  </si>
  <si>
    <t>-14.84 × 16,710 = -247,976.40</t>
  </si>
  <si>
    <t>+1.13 × 16,710 = +18,850.70</t>
  </si>
  <si>
    <t>Total cost increase</t>
  </si>
  <si>
    <t>Panama — Sourcing Opportunity Component Breakdown — August 2026</t>
  </si>
  <si>
    <t>-55.00 × 1,357 = -74,635.00</t>
  </si>
  <si>
    <t>+44.52 × 1,357 = +60,412.41</t>
  </si>
  <si>
    <t>+5.10 × 1,357 = +6,923.52</t>
  </si>
  <si>
    <t>+0.00 × 1,357 = +0.00</t>
  </si>
  <si>
    <t>-22.19 × 1,357 = -30,116.97</t>
  </si>
  <si>
    <t>-27.57 × 1,357 = -37,416.05</t>
  </si>
  <si>
    <t>Peru — Sourcing Opportunity Component Breakdown — August 2026</t>
  </si>
  <si>
    <t>-55.00 × 5,084 = -279,620.00</t>
  </si>
  <si>
    <t>+73.77 × 5,084 = +375,060.54</t>
  </si>
  <si>
    <t>+21.59 × 5,084 = +109,783.84</t>
  </si>
  <si>
    <t>+0.00 × 5,084 = +0.00</t>
  </si>
  <si>
    <t>-35.00 × 5,084 = -177,940.00</t>
  </si>
  <si>
    <t>+5.37 × 5,084 = +27,284.38</t>
  </si>
  <si>
    <t>Uruguay — Sourcing Opportunity Component Breakdown — August 2026</t>
  </si>
  <si>
    <t>+80.80 × 1,281 = +103,504.80</t>
  </si>
  <si>
    <t>-278.84 × 1,281 = -357,198.70</t>
  </si>
  <si>
    <t>+4.69 × 1,281 = +6,007.56</t>
  </si>
  <si>
    <t>+35.31 × 1,281 = +45,236.96</t>
  </si>
  <si>
    <t>-169.10 × 1,281 = -216,614.13</t>
  </si>
  <si>
    <t>-50.00 × 1,281 = -64,050.00</t>
  </si>
  <si>
    <t>+0.000036 × 1,281 = +0.05</t>
  </si>
  <si>
    <t>-377.14 × 1,281 = -483,113.46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</si>
</sst>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\$#,##0.00;[Red]\-\$#,##0.00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name val="Aptos Narrow"/>
    </font>
    <font>
      <i/>
      <sz val="11"/>
      <color rgb="FF666666"/>
      <name val="Aptos Narrow"/>
    </font>
    <font>
      <b/>
      <sz val="12"/>
      <color rgb="FFFFFFFF"/>
      <name val="Aptos Narrow"/>
    </font>
    <font>
      <b/>
      <sz val="11"/>
      <color rgb="FF9C0006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C65911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9" fontId="3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8" fontId="0" fillId="0" borderId="1" xfId="0" applyNumberFormat="1" applyBorder="1" applyAlignment="1">
      <alignment horizontal="center" vertical="center" wrapText="1"/>
    </xf>
    <xf numFmtId="8" fontId="2" fillId="0" borderId="1" xfId="0" applyNumberFormat="1" applyFont="1" applyBorder="1" applyAlignment="1">
      <alignment horizontal="center" vertical="center" wrapText="1"/>
    </xf>
    <xf numFmtId="8" fontId="0" fillId="0" borderId="0" xfId="0" applyNumberFormat="1"/>
    <xf numFmtId="0" fontId="1" fillId="2" borderId="2" xfId="0" applyFont="1" applyFill="1" applyBorder="1" applyAlignment="1">
      <alignment horizontal="center" vertical="center" wrapText="1"/>
    </xf>
    <xf numFmtId="9" fontId="0" fillId="0" borderId="0" xfId="1" applyFont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3" xfId="0" applyBorder="1"/>
    <xf numFmtId="3" fontId="0" fillId="0" borderId="3" xfId="0" applyNumberFormat="1" applyBorder="1"/>
    <xf numFmtId="164" fontId="0" fillId="0" borderId="3" xfId="0" applyNumberFormat="1" applyBorder="1"/>
    <xf numFmtId="2" fontId="0" fillId="0" borderId="0" xfId="0" applyNumberFormat="1" applyAlignment="1">
      <alignment horizontal="center" vertical="center"/>
    </xf>
    <xf numFmtId="9" fontId="3" fillId="10" borderId="0" xfId="1" applyFill="1" applyAlignment="1">
      <alignment horizontal="center" vertical="center"/>
    </xf>
    <xf numFmtId="9" fontId="3" fillId="9" borderId="0" xfId="1" applyFill="1" applyAlignment="1">
      <alignment horizontal="center" vertical="center"/>
    </xf>
    <xf numFmtId="9" fontId="3" fillId="11" borderId="0" xfId="1" applyFill="1" applyAlignment="1">
      <alignment horizontal="center" vertical="center"/>
    </xf>
    <xf numFmtId="9" fontId="3" fillId="0" borderId="0" xfId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0" fontId="9" fillId="7" borderId="0" xfId="0" applyFont="1" applyFill="1" applyAlignment="1">
      <alignment wrapText="1"/>
    </xf>
    <xf numFmtId="0" fontId="8" fillId="6" borderId="0" xfId="0" applyFont="1" applyFill="1" applyAlignment="1">
      <alignment horizontal="center"/>
    </xf>
    <xf numFmtId="0" fontId="0" fillId="0" borderId="0" xfId="0" applyAlignment="1"/>
    <xf numFmtId="0" fontId="5" fillId="8" borderId="1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3" fontId="0" fillId="0" borderId="3" xfId="0" applyNumberFormat="1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0" fontId="6" fillId="5" borderId="3" xfId="0" applyFont="1" applyFill="1" applyBorder="1" applyAlignment="1">
      <alignment vertical="top" wrapText="1"/>
    </xf>
    <xf numFmtId="3" fontId="6" fillId="5" borderId="3" xfId="0" applyNumberFormat="1" applyFont="1" applyFill="1" applyBorder="1" applyAlignment="1">
      <alignment vertical="top" wrapText="1"/>
    </xf>
    <xf numFmtId="164" fontId="6" fillId="5" borderId="3" xfId="0" applyNumberFormat="1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3" fontId="7" fillId="0" borderId="3" xfId="0" applyNumberFormat="1" applyFont="1" applyBorder="1" applyAlignment="1">
      <alignment vertical="top" wrapText="1"/>
    </xf>
    <xf numFmtId="164" fontId="7" fillId="0" borderId="3" xfId="0" applyNumberFormat="1" applyFont="1" applyBorder="1" applyAlignment="1">
      <alignment vertical="top" wrapText="1"/>
    </xf>
    <xf numFmtId="0" fontId="5" fillId="8" borderId="0" xfId="0" applyFont="1" applyFill="1" applyAlignment="1">
      <alignment horizontal="center"/>
    </xf>
    <xf numFmtId="0" fontId="6" fillId="7" borderId="3" xfId="0" applyFont="1" applyFill="1" applyBorder="1" applyAlignment="1">
      <alignment vertical="top" wrapText="1"/>
    </xf>
    <xf numFmtId="3" fontId="6" fillId="7" borderId="3" xfId="0" applyNumberFormat="1" applyFont="1" applyFill="1" applyBorder="1" applyAlignment="1">
      <alignment vertical="top" wrapText="1"/>
    </xf>
    <xf numFmtId="164" fontId="6" fillId="7" borderId="3" xfId="0" applyNumberFormat="1" applyFont="1" applyFill="1" applyBorder="1" applyAlignment="1">
      <alignment vertical="top" wrapText="1"/>
    </xf>
  </cellXfs>
  <cellStyles count="2">
    <cellStyle name="Normal" xfId="0" builtinId="0"/>
    <cellStyle name="Percent" xfId="1" builtinId="5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topLeftCell="B5" workbookViewId="0">
      <selection activeCell="G16" sqref="G16"/>
    </sheetView>
  </sheetViews>
  <sheetFormatPr defaultRowHeight="14.45"/>
  <cols>
    <col min="1" max="1" width="16.42578125" customWidth="1"/>
    <col min="2" max="2" width="18.42578125" customWidth="1"/>
    <col min="3" max="3" width="22.42578125" customWidth="1"/>
    <col min="4" max="4" width="23.5703125" customWidth="1"/>
    <col min="5" max="5" width="24.85546875" customWidth="1"/>
    <col min="6" max="6" width="11.7109375" customWidth="1"/>
    <col min="7" max="7" width="16.42578125" hidden="1" customWidth="1"/>
    <col min="10" max="10" width="11.42578125" customWidth="1"/>
    <col min="11" max="11" width="11" customWidth="1"/>
  </cols>
  <sheetData>
    <row r="1" spans="1:11" ht="29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7" t="s">
        <v>5</v>
      </c>
      <c r="J1" s="10" t="s">
        <v>6</v>
      </c>
      <c r="K1" s="10" t="s">
        <v>7</v>
      </c>
    </row>
    <row r="2" spans="1:11">
      <c r="A2" s="2" t="s">
        <v>8</v>
      </c>
      <c r="B2" s="2" t="s">
        <v>9</v>
      </c>
      <c r="C2" s="3">
        <v>7748</v>
      </c>
      <c r="D2" s="4">
        <v>1586.56</v>
      </c>
      <c r="E2" s="5">
        <v>12292666.880000001</v>
      </c>
      <c r="F2" s="6">
        <f t="shared" ref="F2:F11" si="0">E2/1000000</f>
        <v>12.292666880000001</v>
      </c>
      <c r="G2">
        <v>41</v>
      </c>
      <c r="H2" s="8">
        <f t="shared" ref="H2:H11" si="1">F2/G2</f>
        <v>0.29982114341463417</v>
      </c>
      <c r="J2" s="16">
        <f>(VLOOKUP(A2,Summary_Opportunity!$A$2:$N$11,14,0))/1000000</f>
        <v>3.014450965151183</v>
      </c>
      <c r="K2" s="17">
        <f>J2/F2</f>
        <v>0.24522351370764411</v>
      </c>
    </row>
    <row r="3" spans="1:11" ht="29.1" customHeight="1">
      <c r="A3" s="2" t="s">
        <v>10</v>
      </c>
      <c r="B3" s="2" t="s">
        <v>11</v>
      </c>
      <c r="C3" s="3">
        <v>3331</v>
      </c>
      <c r="D3" s="4">
        <v>1428.25</v>
      </c>
      <c r="E3" s="5">
        <v>4757500.75</v>
      </c>
      <c r="F3" s="6">
        <f t="shared" si="0"/>
        <v>4.7575007500000002</v>
      </c>
      <c r="G3">
        <v>11</v>
      </c>
      <c r="H3" s="8">
        <f t="shared" si="1"/>
        <v>0.43250006818181819</v>
      </c>
      <c r="J3" s="16">
        <f>(VLOOKUP(A3,Summary_Opportunity!$A$2:$N$11,14,0))/1000000</f>
        <v>0.3465923409394035</v>
      </c>
      <c r="K3" s="18">
        <f t="shared" ref="K3:K11" si="2">J3/F3</f>
        <v>7.2851768008529161E-2</v>
      </c>
    </row>
    <row r="4" spans="1:11">
      <c r="A4" s="2" t="s">
        <v>12</v>
      </c>
      <c r="B4" s="2" t="s">
        <v>9</v>
      </c>
      <c r="C4" s="3">
        <v>1287</v>
      </c>
      <c r="D4" s="4">
        <v>1496.08</v>
      </c>
      <c r="E4" s="5">
        <v>1925454.96</v>
      </c>
      <c r="F4" s="6">
        <f t="shared" si="0"/>
        <v>1.9254549599999999</v>
      </c>
      <c r="G4">
        <v>4</v>
      </c>
      <c r="H4" s="8">
        <f t="shared" si="1"/>
        <v>0.48136373999999998</v>
      </c>
      <c r="J4" s="16">
        <f>(VLOOKUP(A4,Summary_Opportunity!$A$2:$N$11,14,0))/1000000</f>
        <v>0.225221953674166</v>
      </c>
      <c r="K4" s="18">
        <f t="shared" si="2"/>
        <v>0.11697077228654884</v>
      </c>
    </row>
    <row r="5" spans="1:11">
      <c r="A5" s="2" t="s">
        <v>13</v>
      </c>
      <c r="B5" s="2" t="s">
        <v>9</v>
      </c>
      <c r="C5" s="3">
        <v>8360</v>
      </c>
      <c r="D5" s="4">
        <v>1507.62</v>
      </c>
      <c r="E5" s="5">
        <v>12603703.199999999</v>
      </c>
      <c r="F5" s="6">
        <f t="shared" si="0"/>
        <v>12.6037032</v>
      </c>
      <c r="G5">
        <v>17</v>
      </c>
      <c r="H5" s="8">
        <f t="shared" si="1"/>
        <v>0.74139430588235289</v>
      </c>
      <c r="J5" s="16">
        <f>(VLOOKUP(A5,Summary_Opportunity!$A$2:$N$11,14,0))/1000000</f>
        <v>0.2580890079999994</v>
      </c>
      <c r="K5" s="19">
        <f t="shared" si="2"/>
        <v>2.0477236245931226E-2</v>
      </c>
    </row>
    <row r="6" spans="1:11">
      <c r="A6" s="2" t="s">
        <v>14</v>
      </c>
      <c r="B6" s="2" t="s">
        <v>9</v>
      </c>
      <c r="C6" s="3">
        <v>16710</v>
      </c>
      <c r="D6" s="4">
        <v>1507.62</v>
      </c>
      <c r="E6" s="5">
        <v>25192330.199999999</v>
      </c>
      <c r="F6" s="6">
        <f t="shared" si="0"/>
        <v>25.192330200000001</v>
      </c>
      <c r="G6">
        <v>37</v>
      </c>
      <c r="H6" s="8">
        <f t="shared" si="1"/>
        <v>0.68087378918918917</v>
      </c>
      <c r="J6" s="16">
        <f>(VLOOKUP(A6,Summary_Opportunity!$A$2:$N$11,14,0))/1000000</f>
        <v>-1.885070290909335E-2</v>
      </c>
      <c r="K6" s="20">
        <f t="shared" si="2"/>
        <v>-7.4827150801212304E-4</v>
      </c>
    </row>
    <row r="7" spans="1:11">
      <c r="A7" s="2" t="s">
        <v>15</v>
      </c>
      <c r="B7" s="2" t="s">
        <v>16</v>
      </c>
      <c r="C7" s="3">
        <v>1357</v>
      </c>
      <c r="D7" s="4">
        <v>1321</v>
      </c>
      <c r="E7" s="5">
        <v>1792597</v>
      </c>
      <c r="F7" s="6">
        <f t="shared" si="0"/>
        <v>1.792597</v>
      </c>
      <c r="G7">
        <v>3</v>
      </c>
      <c r="H7" s="8">
        <f t="shared" si="1"/>
        <v>0.59753233333333333</v>
      </c>
      <c r="J7" s="16">
        <f>(VLOOKUP(A7,Summary_Opportunity!$A$2:$N$11,14,0))/1000000</f>
        <v>3.7416046645922352E-2</v>
      </c>
      <c r="K7" s="19">
        <f t="shared" si="2"/>
        <v>2.0872536686116484E-2</v>
      </c>
    </row>
    <row r="8" spans="1:11">
      <c r="A8" s="2" t="s">
        <v>17</v>
      </c>
      <c r="B8" s="2" t="s">
        <v>16</v>
      </c>
      <c r="C8" s="3">
        <v>5084</v>
      </c>
      <c r="D8" s="4">
        <v>1321</v>
      </c>
      <c r="E8" s="5">
        <v>6715964</v>
      </c>
      <c r="F8" s="6">
        <f t="shared" si="0"/>
        <v>6.7159639999999996</v>
      </c>
      <c r="G8">
        <v>16</v>
      </c>
      <c r="H8" s="8">
        <f t="shared" si="1"/>
        <v>0.41974774999999998</v>
      </c>
      <c r="J8" s="16">
        <f>(VLOOKUP(A8,Summary_Opportunity!$A$2:$N$11,14,0))/1000000</f>
        <v>-2.728438227232546E-2</v>
      </c>
      <c r="K8" s="20">
        <f t="shared" si="2"/>
        <v>-4.0626159211582229E-3</v>
      </c>
    </row>
    <row r="9" spans="1:11">
      <c r="A9" s="2" t="s">
        <v>18</v>
      </c>
      <c r="B9" s="2" t="s">
        <v>9</v>
      </c>
      <c r="C9" s="3">
        <v>18925</v>
      </c>
      <c r="D9" s="4">
        <v>1797</v>
      </c>
      <c r="E9" s="5">
        <v>34008225</v>
      </c>
      <c r="F9" s="6">
        <f t="shared" si="0"/>
        <v>34.008225000000003</v>
      </c>
      <c r="G9">
        <v>41</v>
      </c>
      <c r="H9" s="8">
        <f t="shared" si="1"/>
        <v>0.82946890243902449</v>
      </c>
      <c r="J9" s="16">
        <f>(VLOOKUP(A9,Summary_Opportunity!$A$2:$N$11,14,0))/1000000</f>
        <v>8.9866478675854538</v>
      </c>
      <c r="K9" s="17">
        <f t="shared" si="2"/>
        <v>0.26424924757423984</v>
      </c>
    </row>
    <row r="10" spans="1:11">
      <c r="A10" s="2" t="s">
        <v>19</v>
      </c>
      <c r="B10" s="2" t="s">
        <v>20</v>
      </c>
      <c r="C10" s="3">
        <v>2500</v>
      </c>
      <c r="D10" s="4">
        <v>1504.29</v>
      </c>
      <c r="E10" s="5">
        <v>3760725</v>
      </c>
      <c r="F10" s="6">
        <f t="shared" si="0"/>
        <v>3.7607249999999999</v>
      </c>
      <c r="G10">
        <v>9</v>
      </c>
      <c r="H10" s="8">
        <f t="shared" si="1"/>
        <v>0.41785833333333333</v>
      </c>
      <c r="J10" s="16">
        <f>(VLOOKUP(A10,Summary_Opportunity!$A$2:$N$11,14,0))/1000000</f>
        <v>0.57131363681999969</v>
      </c>
      <c r="K10" s="18">
        <f t="shared" si="2"/>
        <v>0.15191582389565833</v>
      </c>
    </row>
    <row r="11" spans="1:11">
      <c r="A11" s="2" t="s">
        <v>21</v>
      </c>
      <c r="B11" s="2" t="s">
        <v>22</v>
      </c>
      <c r="C11" s="3">
        <v>1281</v>
      </c>
      <c r="D11" s="4">
        <v>1591.9319</v>
      </c>
      <c r="E11" s="5">
        <v>2039264.81</v>
      </c>
      <c r="F11" s="6">
        <f t="shared" si="0"/>
        <v>2.0392648100000001</v>
      </c>
      <c r="G11">
        <v>3</v>
      </c>
      <c r="H11" s="8">
        <f t="shared" si="1"/>
        <v>0.67975493666666675</v>
      </c>
      <c r="J11" s="16">
        <f>(VLOOKUP(A11,Summary_Opportunity!$A$2:$N$11,14,0))/1000000</f>
        <v>0.48311346469069133</v>
      </c>
      <c r="K11" s="17">
        <f t="shared" si="2"/>
        <v>0.23690570362497027</v>
      </c>
    </row>
    <row r="14" spans="1:11" ht="29.1" customHeight="1">
      <c r="A14" s="21" t="s">
        <v>23</v>
      </c>
      <c r="B14" s="25"/>
      <c r="C14" s="25"/>
      <c r="D14" s="25"/>
    </row>
    <row r="15" spans="1:11">
      <c r="A15" s="1" t="s">
        <v>1</v>
      </c>
      <c r="B15" s="1" t="s">
        <v>2</v>
      </c>
      <c r="C15" s="1" t="s">
        <v>3</v>
      </c>
      <c r="D15" s="1" t="s">
        <v>4</v>
      </c>
    </row>
    <row r="16" spans="1:11" ht="15" customHeight="1">
      <c r="A16" s="2" t="s">
        <v>24</v>
      </c>
      <c r="B16" s="3">
        <v>16912</v>
      </c>
      <c r="C16" s="4">
        <v>1708.62</v>
      </c>
      <c r="D16" s="5">
        <v>28896181.440000001</v>
      </c>
      <c r="E16" s="6">
        <f>D16/1000000</f>
        <v>28.896181440000003</v>
      </c>
    </row>
    <row r="17" spans="1:5" ht="15" customHeight="1">
      <c r="A17" s="2" t="s">
        <v>25</v>
      </c>
      <c r="B17" s="3">
        <v>16912</v>
      </c>
      <c r="C17" s="4">
        <v>1684.46</v>
      </c>
      <c r="D17" s="5">
        <v>28487587.52</v>
      </c>
      <c r="E17" s="6">
        <f>D17/1000000</f>
        <v>28.487587519999998</v>
      </c>
    </row>
    <row r="18" spans="1:5" ht="15" customHeight="1">
      <c r="A18" s="2" t="s">
        <v>26</v>
      </c>
      <c r="B18" s="9">
        <v>9641</v>
      </c>
      <c r="C18" s="4">
        <v>1717.2496000000001</v>
      </c>
      <c r="D18" s="5">
        <v>16556003.390000001</v>
      </c>
      <c r="E18" s="6">
        <f>D18/1000000</f>
        <v>16.556003390000001</v>
      </c>
    </row>
    <row r="19" spans="1:5" ht="15" customHeight="1">
      <c r="A19" s="2" t="s">
        <v>27</v>
      </c>
      <c r="B19" s="3">
        <v>27922</v>
      </c>
      <c r="C19" s="4">
        <v>1696.48</v>
      </c>
      <c r="D19" s="5">
        <v>47369114.560000002</v>
      </c>
      <c r="E19" s="6">
        <f>D19/1000000</f>
        <v>47.36911456</v>
      </c>
    </row>
    <row r="21" spans="1:5">
      <c r="E21" s="6">
        <f>SUM(E16:E19)</f>
        <v>121.30888691</v>
      </c>
    </row>
    <row r="23" spans="1:5" ht="15" customHeight="1">
      <c r="A23" s="2" t="s">
        <v>22</v>
      </c>
      <c r="B23" s="3" t="s">
        <v>28</v>
      </c>
      <c r="C23" s="4">
        <v>1795.204</v>
      </c>
      <c r="D23" s="5" t="s">
        <v>28</v>
      </c>
      <c r="E23" s="6"/>
    </row>
    <row r="24" spans="1:5" ht="15" customHeight="1"/>
  </sheetData>
  <mergeCells count="1"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"/>
  <sheetViews>
    <sheetView workbookViewId="0">
      <pane ySplit="1" topLeftCell="A2" activePane="bottomLeft" state="frozen"/>
      <selection pane="bottomLeft" activeCell="N15" sqref="N12:N15"/>
    </sheetView>
  </sheetViews>
  <sheetFormatPr defaultRowHeight="14.45"/>
  <cols>
    <col min="1" max="1" width="18.140625" customWidth="1"/>
    <col min="2" max="2" width="28" customWidth="1"/>
    <col min="3" max="3" width="12" customWidth="1"/>
    <col min="4" max="5" width="17" customWidth="1"/>
    <col min="6" max="6" width="21" customWidth="1"/>
    <col min="7" max="7" width="26" customWidth="1"/>
    <col min="8" max="9" width="17" customWidth="1"/>
    <col min="10" max="10" width="24" customWidth="1"/>
    <col min="11" max="11" width="23" customWidth="1"/>
    <col min="12" max="13" width="22" customWidth="1"/>
    <col min="14" max="14" width="29" customWidth="1"/>
    <col min="15" max="15" width="22" customWidth="1"/>
    <col min="16" max="16" width="34" customWidth="1"/>
    <col min="17" max="17" width="24" customWidth="1"/>
    <col min="18" max="19" width="22" customWidth="1"/>
    <col min="20" max="20" width="27" customWidth="1"/>
    <col min="21" max="21" width="31" customWidth="1"/>
  </cols>
  <sheetData>
    <row r="1" spans="1:21" s="10" customFormat="1" ht="26.1" customHeight="1">
      <c r="A1" s="26" t="s">
        <v>29</v>
      </c>
      <c r="B1" s="26" t="s">
        <v>30</v>
      </c>
      <c r="C1" s="26" t="s">
        <v>2</v>
      </c>
      <c r="D1" s="26" t="s">
        <v>31</v>
      </c>
      <c r="E1" s="26" t="s">
        <v>32</v>
      </c>
      <c r="F1" s="26" t="s">
        <v>33</v>
      </c>
      <c r="G1" s="26" t="s">
        <v>34</v>
      </c>
      <c r="H1" s="26" t="s">
        <v>35</v>
      </c>
      <c r="I1" s="26" t="s">
        <v>36</v>
      </c>
      <c r="J1" s="26" t="s">
        <v>37</v>
      </c>
      <c r="K1" s="26" t="s">
        <v>38</v>
      </c>
      <c r="L1" s="26" t="s">
        <v>39</v>
      </c>
      <c r="M1" s="26" t="s">
        <v>40</v>
      </c>
      <c r="N1" s="26" t="s">
        <v>41</v>
      </c>
      <c r="O1" s="26" t="s">
        <v>42</v>
      </c>
      <c r="P1" s="26" t="s">
        <v>43</v>
      </c>
      <c r="Q1" s="26" t="s">
        <v>44</v>
      </c>
      <c r="R1" s="26" t="s">
        <v>45</v>
      </c>
      <c r="S1" s="26" t="s">
        <v>46</v>
      </c>
      <c r="T1" s="26" t="s">
        <v>47</v>
      </c>
      <c r="U1" s="26" t="s">
        <v>48</v>
      </c>
    </row>
    <row r="2" spans="1:21">
      <c r="A2" s="2" t="s">
        <v>8</v>
      </c>
      <c r="B2" s="2" t="s">
        <v>9</v>
      </c>
      <c r="C2" s="11">
        <v>7748</v>
      </c>
      <c r="D2" s="2" t="s">
        <v>49</v>
      </c>
      <c r="E2" s="2" t="s">
        <v>50</v>
      </c>
      <c r="F2" s="12">
        <v>1586.56</v>
      </c>
      <c r="G2" s="12" t="s">
        <v>51</v>
      </c>
      <c r="H2" s="12" t="s">
        <v>49</v>
      </c>
      <c r="I2" s="12" t="s">
        <v>50</v>
      </c>
      <c r="J2" s="12">
        <v>1197.498182092</v>
      </c>
      <c r="K2" s="12">
        <v>-389.06181790800002</v>
      </c>
      <c r="L2" s="12">
        <v>12292666.880000001</v>
      </c>
      <c r="M2" s="12">
        <v>9278215.9148488156</v>
      </c>
      <c r="N2" s="12">
        <v>3014450.9651511828</v>
      </c>
      <c r="O2" s="2" t="s">
        <v>52</v>
      </c>
      <c r="P2" s="2" t="s">
        <v>53</v>
      </c>
      <c r="Q2" s="2" t="s">
        <v>54</v>
      </c>
      <c r="R2" s="12">
        <v>334</v>
      </c>
      <c r="S2" s="12">
        <v>122.7</v>
      </c>
      <c r="T2" s="12">
        <v>211.3</v>
      </c>
      <c r="U2" s="2" t="s">
        <v>55</v>
      </c>
    </row>
    <row r="3" spans="1:21">
      <c r="A3" s="2" t="s">
        <v>10</v>
      </c>
      <c r="B3" s="2" t="s">
        <v>11</v>
      </c>
      <c r="C3" s="11">
        <v>3331</v>
      </c>
      <c r="D3" s="2" t="s">
        <v>49</v>
      </c>
      <c r="E3" s="2" t="s">
        <v>50</v>
      </c>
      <c r="F3" s="12">
        <v>1428.25</v>
      </c>
      <c r="G3" s="12" t="s">
        <v>56</v>
      </c>
      <c r="H3" s="12" t="s">
        <v>49</v>
      </c>
      <c r="I3" s="12" t="s">
        <v>50</v>
      </c>
      <c r="J3" s="12">
        <v>1324.1994623418179</v>
      </c>
      <c r="K3" s="12">
        <v>-104.0505376581818</v>
      </c>
      <c r="L3" s="12">
        <v>4757500.75</v>
      </c>
      <c r="M3" s="12">
        <v>4410908.4090605956</v>
      </c>
      <c r="N3" s="12">
        <v>346592.34093940351</v>
      </c>
      <c r="O3" s="2" t="s">
        <v>52</v>
      </c>
      <c r="P3" s="2" t="s">
        <v>53</v>
      </c>
      <c r="Q3" s="2" t="s">
        <v>54</v>
      </c>
      <c r="R3" s="12">
        <v>239.2</v>
      </c>
      <c r="S3" s="12">
        <v>90.9</v>
      </c>
      <c r="T3" s="12">
        <v>148.30000000000001</v>
      </c>
      <c r="U3" s="2" t="s">
        <v>57</v>
      </c>
    </row>
    <row r="4" spans="1:21">
      <c r="A4" s="2" t="s">
        <v>12</v>
      </c>
      <c r="B4" s="2" t="s">
        <v>9</v>
      </c>
      <c r="C4" s="11">
        <v>1287</v>
      </c>
      <c r="D4" s="2" t="s">
        <v>49</v>
      </c>
      <c r="E4" s="2" t="s">
        <v>50</v>
      </c>
      <c r="F4" s="12">
        <v>1496.08</v>
      </c>
      <c r="G4" s="12" t="s">
        <v>51</v>
      </c>
      <c r="H4" s="12" t="s">
        <v>49</v>
      </c>
      <c r="I4" s="12" t="s">
        <v>50</v>
      </c>
      <c r="J4" s="12">
        <v>1321.08236699754</v>
      </c>
      <c r="K4" s="12">
        <v>-174.99763300245991</v>
      </c>
      <c r="L4" s="12">
        <v>1925454.96</v>
      </c>
      <c r="M4" s="12">
        <v>1700233.006325834</v>
      </c>
      <c r="N4" s="12">
        <v>225221.953674166</v>
      </c>
      <c r="O4" s="2" t="s">
        <v>52</v>
      </c>
      <c r="P4" s="2" t="s">
        <v>53</v>
      </c>
      <c r="Q4" s="2" t="s">
        <v>58</v>
      </c>
      <c r="R4" s="12">
        <v>136.1</v>
      </c>
      <c r="S4" s="12">
        <v>0</v>
      </c>
      <c r="T4" s="12">
        <v>136.1</v>
      </c>
      <c r="U4" s="2" t="s">
        <v>59</v>
      </c>
    </row>
    <row r="5" spans="1:21">
      <c r="A5" s="2" t="s">
        <v>13</v>
      </c>
      <c r="B5" s="2" t="s">
        <v>9</v>
      </c>
      <c r="C5" s="11">
        <v>8360</v>
      </c>
      <c r="D5" s="2" t="s">
        <v>49</v>
      </c>
      <c r="E5" s="2" t="s">
        <v>50</v>
      </c>
      <c r="F5" s="12">
        <v>1507.62</v>
      </c>
      <c r="G5" s="12" t="s">
        <v>56</v>
      </c>
      <c r="H5" s="12" t="s">
        <v>49</v>
      </c>
      <c r="I5" s="12" t="s">
        <v>50</v>
      </c>
      <c r="J5" s="12">
        <v>1476.7481090909091</v>
      </c>
      <c r="K5" s="12">
        <v>-30.87189090909078</v>
      </c>
      <c r="L5" s="12">
        <v>12603703.199999999</v>
      </c>
      <c r="M5" s="12">
        <v>12345614.192</v>
      </c>
      <c r="N5" s="12">
        <v>258089.00799999939</v>
      </c>
      <c r="O5" s="2" t="s">
        <v>52</v>
      </c>
      <c r="P5" s="2" t="s">
        <v>53</v>
      </c>
      <c r="Q5" s="2" t="s">
        <v>54</v>
      </c>
      <c r="R5" s="12">
        <v>189</v>
      </c>
      <c r="S5" s="12">
        <v>98.1</v>
      </c>
      <c r="T5" s="12">
        <v>90.9</v>
      </c>
      <c r="U5" s="2" t="s">
        <v>60</v>
      </c>
    </row>
    <row r="6" spans="1:21">
      <c r="A6" s="2" t="s">
        <v>14</v>
      </c>
      <c r="B6" s="2" t="s">
        <v>9</v>
      </c>
      <c r="C6" s="11">
        <v>16710</v>
      </c>
      <c r="D6" s="2" t="s">
        <v>49</v>
      </c>
      <c r="E6" s="2" t="s">
        <v>50</v>
      </c>
      <c r="F6" s="12">
        <v>1507.62</v>
      </c>
      <c r="G6" s="12" t="s">
        <v>56</v>
      </c>
      <c r="H6" s="12" t="s">
        <v>49</v>
      </c>
      <c r="I6" s="12" t="s">
        <v>50</v>
      </c>
      <c r="J6" s="12">
        <v>1508.7481090909091</v>
      </c>
      <c r="K6" s="12">
        <v>1.12810909090922</v>
      </c>
      <c r="L6" s="12">
        <v>25192330.199999999</v>
      </c>
      <c r="M6" s="12">
        <v>25211180.902909089</v>
      </c>
      <c r="N6" s="12">
        <v>-18850.70290909335</v>
      </c>
      <c r="O6" s="2" t="s">
        <v>61</v>
      </c>
      <c r="P6" s="2" t="s">
        <v>62</v>
      </c>
      <c r="Q6" s="2" t="s">
        <v>63</v>
      </c>
      <c r="R6" s="12">
        <v>1197.7</v>
      </c>
      <c r="S6" s="12">
        <v>1354.8</v>
      </c>
      <c r="T6" s="12">
        <v>-157.09999999999991</v>
      </c>
      <c r="U6" s="2" t="s">
        <v>64</v>
      </c>
    </row>
    <row r="7" spans="1:21">
      <c r="A7" s="2" t="s">
        <v>15</v>
      </c>
      <c r="B7" s="2" t="s">
        <v>16</v>
      </c>
      <c r="C7" s="11">
        <v>1357</v>
      </c>
      <c r="D7" s="2" t="s">
        <v>49</v>
      </c>
      <c r="E7" s="2" t="s">
        <v>50</v>
      </c>
      <c r="F7" s="12">
        <v>1321</v>
      </c>
      <c r="G7" s="12" t="s">
        <v>51</v>
      </c>
      <c r="H7" s="12" t="s">
        <v>49</v>
      </c>
      <c r="I7" s="12" t="s">
        <v>50</v>
      </c>
      <c r="J7" s="12">
        <v>1293.4273790376401</v>
      </c>
      <c r="K7" s="12">
        <v>-27.57262096235991</v>
      </c>
      <c r="L7" s="12">
        <v>1792597</v>
      </c>
      <c r="M7" s="12">
        <v>1755180.9533540781</v>
      </c>
      <c r="N7" s="12">
        <v>37416.046645922353</v>
      </c>
      <c r="O7" s="2" t="s">
        <v>52</v>
      </c>
      <c r="P7" s="2" t="s">
        <v>53</v>
      </c>
      <c r="Q7" s="2" t="s">
        <v>63</v>
      </c>
      <c r="R7" s="12">
        <v>1125</v>
      </c>
      <c r="S7" s="12">
        <v>1070</v>
      </c>
      <c r="T7" s="12">
        <v>55</v>
      </c>
      <c r="U7" s="2" t="s">
        <v>65</v>
      </c>
    </row>
    <row r="8" spans="1:21">
      <c r="A8" s="2" t="s">
        <v>17</v>
      </c>
      <c r="B8" s="2" t="s">
        <v>16</v>
      </c>
      <c r="C8" s="11">
        <v>5084</v>
      </c>
      <c r="D8" s="2" t="s">
        <v>49</v>
      </c>
      <c r="E8" s="2" t="s">
        <v>50</v>
      </c>
      <c r="F8" s="12">
        <v>1321</v>
      </c>
      <c r="G8" s="12" t="s">
        <v>51</v>
      </c>
      <c r="H8" s="12" t="s">
        <v>49</v>
      </c>
      <c r="I8" s="12" t="s">
        <v>50</v>
      </c>
      <c r="J8" s="12">
        <v>1326.36671563185</v>
      </c>
      <c r="K8" s="12">
        <v>5.3667156318499556</v>
      </c>
      <c r="L8" s="12">
        <v>6715964</v>
      </c>
      <c r="M8" s="12">
        <v>6743248.3822723255</v>
      </c>
      <c r="N8" s="12">
        <v>-27284.38227232546</v>
      </c>
      <c r="O8" s="2" t="s">
        <v>61</v>
      </c>
      <c r="P8" s="2" t="s">
        <v>62</v>
      </c>
      <c r="Q8" s="2" t="s">
        <v>54</v>
      </c>
      <c r="R8" s="12">
        <v>161</v>
      </c>
      <c r="S8" s="12">
        <v>234.8</v>
      </c>
      <c r="T8" s="12">
        <v>-73.800000000000011</v>
      </c>
      <c r="U8" s="2" t="s">
        <v>66</v>
      </c>
    </row>
    <row r="9" spans="1:21">
      <c r="A9" s="2" t="s">
        <v>18</v>
      </c>
      <c r="B9" s="2" t="s">
        <v>9</v>
      </c>
      <c r="C9" s="11">
        <v>18925</v>
      </c>
      <c r="D9" s="2" t="s">
        <v>49</v>
      </c>
      <c r="E9" s="2" t="s">
        <v>50</v>
      </c>
      <c r="F9" s="12">
        <v>1797</v>
      </c>
      <c r="G9" s="12" t="s">
        <v>67</v>
      </c>
      <c r="H9" s="12" t="s">
        <v>49</v>
      </c>
      <c r="I9" s="12" t="s">
        <v>50</v>
      </c>
      <c r="J9" s="12">
        <v>1322.1441021090909</v>
      </c>
      <c r="K9" s="12">
        <v>-474.85589789090909</v>
      </c>
      <c r="L9" s="12">
        <v>34008225</v>
      </c>
      <c r="M9" s="12">
        <v>25021577.13241455</v>
      </c>
      <c r="N9" s="12">
        <v>8986647.8675854541</v>
      </c>
      <c r="O9" s="2" t="s">
        <v>52</v>
      </c>
      <c r="P9" s="2" t="s">
        <v>53</v>
      </c>
      <c r="Q9" s="2" t="s">
        <v>54</v>
      </c>
      <c r="R9" s="12">
        <v>498</v>
      </c>
      <c r="S9" s="12">
        <v>46.1</v>
      </c>
      <c r="T9" s="12">
        <v>451.9</v>
      </c>
      <c r="U9" s="2" t="s">
        <v>68</v>
      </c>
    </row>
    <row r="10" spans="1:21">
      <c r="A10" s="2" t="s">
        <v>19</v>
      </c>
      <c r="B10" s="2" t="s">
        <v>20</v>
      </c>
      <c r="C10" s="11">
        <v>2500</v>
      </c>
      <c r="D10" s="2" t="s">
        <v>49</v>
      </c>
      <c r="E10" s="2" t="s">
        <v>50</v>
      </c>
      <c r="F10" s="12">
        <v>1504.29</v>
      </c>
      <c r="G10" s="12" t="s">
        <v>51</v>
      </c>
      <c r="H10" s="12" t="s">
        <v>49</v>
      </c>
      <c r="I10" s="12" t="s">
        <v>50</v>
      </c>
      <c r="J10" s="12">
        <v>1275.7645452720001</v>
      </c>
      <c r="K10" s="12">
        <v>-228.52545472799989</v>
      </c>
      <c r="L10" s="12">
        <v>3760725</v>
      </c>
      <c r="M10" s="12">
        <v>3189411.3631799999</v>
      </c>
      <c r="N10" s="12">
        <v>571313.63681999967</v>
      </c>
      <c r="O10" s="2" t="s">
        <v>52</v>
      </c>
      <c r="P10" s="2" t="s">
        <v>53</v>
      </c>
      <c r="Q10" s="2" t="s">
        <v>69</v>
      </c>
      <c r="R10" s="12">
        <v>156</v>
      </c>
      <c r="S10" s="12">
        <v>0</v>
      </c>
      <c r="T10" s="12">
        <v>156</v>
      </c>
      <c r="U10" s="2" t="s">
        <v>70</v>
      </c>
    </row>
    <row r="11" spans="1:21">
      <c r="A11" s="2" t="s">
        <v>21</v>
      </c>
      <c r="B11" s="2" t="s">
        <v>22</v>
      </c>
      <c r="C11" s="11">
        <v>1281</v>
      </c>
      <c r="D11" s="2" t="s">
        <v>49</v>
      </c>
      <c r="E11" s="2" t="s">
        <v>50</v>
      </c>
      <c r="F11" s="12">
        <v>1591.9319</v>
      </c>
      <c r="G11" s="12" t="s">
        <v>18</v>
      </c>
      <c r="H11" s="12" t="s">
        <v>49</v>
      </c>
      <c r="I11" s="12" t="s">
        <v>50</v>
      </c>
      <c r="J11" s="12">
        <v>1214.794144581818</v>
      </c>
      <c r="K11" s="12">
        <v>-377.137755418182</v>
      </c>
      <c r="L11" s="12">
        <v>2039264.7638999999</v>
      </c>
      <c r="M11" s="12">
        <v>1556151.299209309</v>
      </c>
      <c r="N11" s="12">
        <v>483113.46469069133</v>
      </c>
      <c r="O11" s="2" t="s">
        <v>52</v>
      </c>
      <c r="P11" s="2" t="s">
        <v>53</v>
      </c>
      <c r="Q11" s="2" t="s">
        <v>54</v>
      </c>
      <c r="R11" s="12">
        <v>319.5</v>
      </c>
      <c r="S11" s="12">
        <v>40.6</v>
      </c>
      <c r="T11" s="12">
        <v>278.89999999999998</v>
      </c>
      <c r="U11" s="2" t="s">
        <v>71</v>
      </c>
    </row>
    <row r="12" spans="1:21">
      <c r="A12" s="2" t="s">
        <v>67</v>
      </c>
      <c r="B12" s="2" t="s">
        <v>24</v>
      </c>
      <c r="C12" s="11">
        <v>16912</v>
      </c>
      <c r="D12" s="2" t="s">
        <v>49</v>
      </c>
      <c r="E12" s="2" t="s">
        <v>50</v>
      </c>
      <c r="F12" s="12">
        <v>1708.62</v>
      </c>
      <c r="G12" s="12" t="s">
        <v>18</v>
      </c>
      <c r="H12" s="12" t="s">
        <v>49</v>
      </c>
      <c r="I12" s="12" t="s">
        <v>50</v>
      </c>
      <c r="J12" s="12">
        <v>1198.6237599999999</v>
      </c>
      <c r="K12" s="12">
        <v>-509.99623999999989</v>
      </c>
      <c r="L12" s="12">
        <v>28896181.440000001</v>
      </c>
      <c r="M12" s="12">
        <v>20271125.029119998</v>
      </c>
      <c r="N12" s="12">
        <v>8625056.4108799994</v>
      </c>
      <c r="O12" s="2" t="s">
        <v>52</v>
      </c>
      <c r="P12" s="2" t="s">
        <v>53</v>
      </c>
      <c r="Q12" s="2" t="s">
        <v>54</v>
      </c>
      <c r="R12" s="12">
        <v>290.2</v>
      </c>
      <c r="S12" s="12">
        <v>39.1</v>
      </c>
      <c r="T12" s="12">
        <v>251.1</v>
      </c>
      <c r="U12" s="2" t="s">
        <v>72</v>
      </c>
    </row>
    <row r="13" spans="1:21">
      <c r="A13" s="2" t="s">
        <v>67</v>
      </c>
      <c r="B13" s="2" t="s">
        <v>25</v>
      </c>
      <c r="C13" s="11">
        <v>16912</v>
      </c>
      <c r="D13" s="2" t="s">
        <v>49</v>
      </c>
      <c r="E13" s="2" t="s">
        <v>50</v>
      </c>
      <c r="F13" s="12">
        <v>1684.46</v>
      </c>
      <c r="G13" s="12" t="s">
        <v>18</v>
      </c>
      <c r="H13" s="12" t="s">
        <v>49</v>
      </c>
      <c r="I13" s="12" t="s">
        <v>50</v>
      </c>
      <c r="J13" s="12">
        <v>1198.6237599999999</v>
      </c>
      <c r="K13" s="12">
        <v>-485.83624000000009</v>
      </c>
      <c r="L13" s="12">
        <v>28487587.52</v>
      </c>
      <c r="M13" s="12">
        <v>20271125.029119998</v>
      </c>
      <c r="N13" s="12">
        <v>8216462.4908800013</v>
      </c>
      <c r="O13" s="2" t="s">
        <v>52</v>
      </c>
      <c r="P13" s="2" t="s">
        <v>53</v>
      </c>
      <c r="Q13" s="2" t="s">
        <v>73</v>
      </c>
      <c r="R13" s="12">
        <v>261.3</v>
      </c>
      <c r="S13" s="12">
        <v>23</v>
      </c>
      <c r="T13" s="12">
        <v>238.3</v>
      </c>
      <c r="U13" s="2" t="s">
        <v>74</v>
      </c>
    </row>
    <row r="14" spans="1:21">
      <c r="A14" s="2" t="s">
        <v>67</v>
      </c>
      <c r="B14" s="2" t="s">
        <v>26</v>
      </c>
      <c r="C14" s="11">
        <v>9641</v>
      </c>
      <c r="D14" s="2" t="s">
        <v>49</v>
      </c>
      <c r="E14" s="2" t="s">
        <v>50</v>
      </c>
      <c r="F14" s="12">
        <v>1717.2496000000001</v>
      </c>
      <c r="G14" s="12" t="s">
        <v>18</v>
      </c>
      <c r="H14" s="12" t="s">
        <v>49</v>
      </c>
      <c r="I14" s="12" t="s">
        <v>50</v>
      </c>
      <c r="J14" s="12">
        <v>1198.6237599999999</v>
      </c>
      <c r="K14" s="12">
        <v>-518.62584000000015</v>
      </c>
      <c r="L14" s="12">
        <v>16556003.3936</v>
      </c>
      <c r="M14" s="12">
        <v>11555931.670159999</v>
      </c>
      <c r="N14" s="12">
        <v>5000071.7234400008</v>
      </c>
      <c r="O14" s="2" t="s">
        <v>52</v>
      </c>
      <c r="P14" s="2" t="s">
        <v>53</v>
      </c>
      <c r="Q14" s="2" t="s">
        <v>69</v>
      </c>
      <c r="R14" s="12">
        <v>243.1</v>
      </c>
      <c r="S14" s="12">
        <v>0</v>
      </c>
      <c r="T14" s="12">
        <v>243.1</v>
      </c>
      <c r="U14" s="2" t="s">
        <v>75</v>
      </c>
    </row>
    <row r="15" spans="1:21">
      <c r="A15" s="2" t="s">
        <v>67</v>
      </c>
      <c r="B15" s="2" t="s">
        <v>27</v>
      </c>
      <c r="C15" s="11">
        <v>27922</v>
      </c>
      <c r="D15" s="2" t="s">
        <v>49</v>
      </c>
      <c r="E15" s="2" t="s">
        <v>50</v>
      </c>
      <c r="F15" s="12">
        <v>1696.48</v>
      </c>
      <c r="G15" s="12" t="s">
        <v>18</v>
      </c>
      <c r="H15" s="12" t="s">
        <v>49</v>
      </c>
      <c r="I15" s="12" t="s">
        <v>50</v>
      </c>
      <c r="J15" s="12">
        <v>1198.6237599999999</v>
      </c>
      <c r="K15" s="12">
        <v>-497.85624000000013</v>
      </c>
      <c r="L15" s="12">
        <v>47369114.560000002</v>
      </c>
      <c r="M15" s="12">
        <v>33467972.62672</v>
      </c>
      <c r="N15" s="12">
        <v>13901141.93328</v>
      </c>
      <c r="O15" s="2" t="s">
        <v>52</v>
      </c>
      <c r="P15" s="2" t="s">
        <v>53</v>
      </c>
      <c r="Q15" s="2" t="s">
        <v>58</v>
      </c>
      <c r="R15" s="12">
        <v>337.7</v>
      </c>
      <c r="S15" s="12">
        <v>0</v>
      </c>
      <c r="T15" s="12">
        <v>337.7</v>
      </c>
      <c r="U15" s="2" t="s">
        <v>76</v>
      </c>
    </row>
  </sheetData>
  <autoFilter ref="A1:U15" xr:uid="{00000000-0009-0000-0000-000001000000}"/>
  <conditionalFormatting sqref="N2:N15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"/>
  <sheetViews>
    <sheetView workbookViewId="0">
      <pane ySplit="2" topLeftCell="A3" activePane="bottomLeft" state="frozen"/>
      <selection pane="bottomLeft" activeCell="A2" sqref="A2:XFD2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77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18</v>
      </c>
      <c r="B3" s="28" t="s">
        <v>9</v>
      </c>
      <c r="C3" s="29">
        <v>18925</v>
      </c>
      <c r="D3" s="28" t="s">
        <v>67</v>
      </c>
      <c r="E3" s="28" t="s">
        <v>63</v>
      </c>
      <c r="F3" s="30">
        <v>1222.76</v>
      </c>
      <c r="G3" s="30">
        <v>1070</v>
      </c>
      <c r="H3" s="30">
        <v>152.76</v>
      </c>
      <c r="I3" s="28" t="s">
        <v>86</v>
      </c>
      <c r="J3" s="30">
        <v>2890983</v>
      </c>
      <c r="K3" s="30">
        <v>-2890983</v>
      </c>
      <c r="L3" s="28" t="s">
        <v>87</v>
      </c>
    </row>
    <row r="4" spans="1:12">
      <c r="A4" s="28" t="s">
        <v>18</v>
      </c>
      <c r="B4" s="28" t="s">
        <v>9</v>
      </c>
      <c r="C4" s="29">
        <v>18925</v>
      </c>
      <c r="D4" s="28" t="s">
        <v>67</v>
      </c>
      <c r="E4" s="28" t="s">
        <v>54</v>
      </c>
      <c r="F4" s="30">
        <v>46.090909090909093</v>
      </c>
      <c r="G4" s="30">
        <v>498</v>
      </c>
      <c r="H4" s="30">
        <v>-451.90909090909088</v>
      </c>
      <c r="I4" s="28" t="s">
        <v>88</v>
      </c>
      <c r="J4" s="30">
        <v>-8552379.5454545449</v>
      </c>
      <c r="K4" s="30">
        <v>8552379.5454545449</v>
      </c>
      <c r="L4" s="28" t="s">
        <v>89</v>
      </c>
    </row>
    <row r="5" spans="1:12">
      <c r="A5" s="28" t="s">
        <v>18</v>
      </c>
      <c r="B5" s="28" t="s">
        <v>9</v>
      </c>
      <c r="C5" s="29">
        <v>18925</v>
      </c>
      <c r="D5" s="28" t="s">
        <v>67</v>
      </c>
      <c r="E5" s="28" t="s">
        <v>90</v>
      </c>
      <c r="F5" s="30">
        <v>5.0754036363636361</v>
      </c>
      <c r="G5" s="30">
        <v>0</v>
      </c>
      <c r="H5" s="30">
        <v>5.0754036363636361</v>
      </c>
      <c r="I5" s="28" t="s">
        <v>91</v>
      </c>
      <c r="J5" s="30">
        <v>96052.013818181818</v>
      </c>
      <c r="K5" s="30">
        <v>-96052.013818181818</v>
      </c>
      <c r="L5" s="28" t="s">
        <v>87</v>
      </c>
    </row>
    <row r="6" spans="1:12">
      <c r="A6" s="28" t="s">
        <v>18</v>
      </c>
      <c r="B6" s="28" t="s">
        <v>9</v>
      </c>
      <c r="C6" s="29">
        <v>18925</v>
      </c>
      <c r="D6" s="28" t="s">
        <v>67</v>
      </c>
      <c r="E6" s="28" t="s">
        <v>73</v>
      </c>
      <c r="F6" s="30">
        <v>48.217789381818179</v>
      </c>
      <c r="G6" s="30">
        <v>0</v>
      </c>
      <c r="H6" s="30">
        <v>48.217789381818179</v>
      </c>
      <c r="I6" s="28" t="s">
        <v>92</v>
      </c>
      <c r="J6" s="30">
        <v>912521.66405090899</v>
      </c>
      <c r="K6" s="30">
        <v>-912521.66405090899</v>
      </c>
      <c r="L6" s="28" t="s">
        <v>87</v>
      </c>
    </row>
    <row r="7" spans="1:12">
      <c r="A7" s="28" t="s">
        <v>18</v>
      </c>
      <c r="B7" s="28" t="s">
        <v>9</v>
      </c>
      <c r="C7" s="29">
        <v>18925</v>
      </c>
      <c r="D7" s="28" t="s">
        <v>67</v>
      </c>
      <c r="E7" s="28" t="s">
        <v>58</v>
      </c>
      <c r="F7" s="30">
        <v>0</v>
      </c>
      <c r="G7" s="30">
        <v>229</v>
      </c>
      <c r="H7" s="30">
        <v>-229</v>
      </c>
      <c r="I7" s="28" t="s">
        <v>93</v>
      </c>
      <c r="J7" s="30">
        <v>-4333825</v>
      </c>
      <c r="K7" s="30">
        <v>4333825</v>
      </c>
      <c r="L7" s="28" t="s">
        <v>89</v>
      </c>
    </row>
    <row r="8" spans="1:12">
      <c r="A8" s="28" t="s">
        <v>18</v>
      </c>
      <c r="B8" s="28" t="s">
        <v>9</v>
      </c>
      <c r="C8" s="29">
        <v>18925</v>
      </c>
      <c r="D8" s="28" t="s">
        <v>67</v>
      </c>
      <c r="E8" s="28" t="s">
        <v>69</v>
      </c>
      <c r="F8" s="30">
        <v>0</v>
      </c>
      <c r="G8" s="30">
        <v>0</v>
      </c>
      <c r="H8" s="30">
        <v>0</v>
      </c>
      <c r="I8" s="28" t="s">
        <v>94</v>
      </c>
      <c r="J8" s="30">
        <v>0</v>
      </c>
      <c r="K8" s="30">
        <v>0</v>
      </c>
      <c r="L8" s="28" t="s">
        <v>95</v>
      </c>
    </row>
    <row r="9" spans="1:12">
      <c r="A9" s="31" t="s">
        <v>18</v>
      </c>
      <c r="B9" s="31" t="s">
        <v>9</v>
      </c>
      <c r="C9" s="32">
        <v>18925</v>
      </c>
      <c r="D9" s="31" t="s">
        <v>67</v>
      </c>
      <c r="E9" s="31" t="s">
        <v>96</v>
      </c>
      <c r="F9" s="33">
        <v>1322.1441021090909</v>
      </c>
      <c r="G9" s="33">
        <v>1797</v>
      </c>
      <c r="H9" s="33">
        <v>-474.85589789090909</v>
      </c>
      <c r="I9" s="31" t="s">
        <v>97</v>
      </c>
      <c r="J9" s="33">
        <v>-8986647.8675854541</v>
      </c>
      <c r="K9" s="33">
        <v>8986647.8675854541</v>
      </c>
      <c r="L9" s="31" t="s">
        <v>98</v>
      </c>
    </row>
  </sheetData>
  <autoFilter ref="A2:L9" xr:uid="{00000000-0009-0000-0000-000002000000}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workbookViewId="0">
      <pane ySplit="2" topLeftCell="A3" activePane="bottomLeft" state="frozen"/>
      <selection pane="bottomLeft" activeCell="A2" sqref="A2:XFD2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99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19</v>
      </c>
      <c r="B3" s="28" t="s">
        <v>20</v>
      </c>
      <c r="C3" s="29">
        <v>2500</v>
      </c>
      <c r="D3" s="28" t="s">
        <v>51</v>
      </c>
      <c r="E3" s="28" t="s">
        <v>63</v>
      </c>
      <c r="F3" s="30">
        <v>986</v>
      </c>
      <c r="G3" s="30">
        <v>986</v>
      </c>
      <c r="H3" s="30">
        <v>0</v>
      </c>
      <c r="I3" s="28" t="s">
        <v>100</v>
      </c>
      <c r="J3" s="30">
        <v>0</v>
      </c>
      <c r="K3" s="30">
        <v>0</v>
      </c>
      <c r="L3" s="28" t="s">
        <v>95</v>
      </c>
    </row>
    <row r="4" spans="1:12">
      <c r="A4" s="28" t="s">
        <v>19</v>
      </c>
      <c r="B4" s="28" t="s">
        <v>20</v>
      </c>
      <c r="C4" s="29">
        <v>2500</v>
      </c>
      <c r="D4" s="28" t="s">
        <v>51</v>
      </c>
      <c r="E4" s="28" t="s">
        <v>54</v>
      </c>
      <c r="F4" s="30">
        <v>284.68181800000002</v>
      </c>
      <c r="G4" s="30">
        <v>280</v>
      </c>
      <c r="H4" s="30">
        <v>4.6818180000000211</v>
      </c>
      <c r="I4" s="28" t="s">
        <v>101</v>
      </c>
      <c r="J4" s="30">
        <v>11704.545000000049</v>
      </c>
      <c r="K4" s="30">
        <v>-11704.545000000049</v>
      </c>
      <c r="L4" s="28" t="s">
        <v>87</v>
      </c>
    </row>
    <row r="5" spans="1:12">
      <c r="A5" s="28" t="s">
        <v>19</v>
      </c>
      <c r="B5" s="28" t="s">
        <v>20</v>
      </c>
      <c r="C5" s="29">
        <v>2500</v>
      </c>
      <c r="D5" s="28" t="s">
        <v>51</v>
      </c>
      <c r="E5" s="28" t="s">
        <v>90</v>
      </c>
      <c r="F5" s="30">
        <v>5.0827272720000014</v>
      </c>
      <c r="G5" s="30">
        <v>0</v>
      </c>
      <c r="H5" s="30">
        <v>5.0827272720000014</v>
      </c>
      <c r="I5" s="28" t="s">
        <v>102</v>
      </c>
      <c r="J5" s="30">
        <v>12706.81818</v>
      </c>
      <c r="K5" s="30">
        <v>-12706.81818</v>
      </c>
      <c r="L5" s="28" t="s">
        <v>87</v>
      </c>
    </row>
    <row r="6" spans="1:12">
      <c r="A6" s="28" t="s">
        <v>19</v>
      </c>
      <c r="B6" s="28" t="s">
        <v>20</v>
      </c>
      <c r="C6" s="29">
        <v>2500</v>
      </c>
      <c r="D6" s="28" t="s">
        <v>51</v>
      </c>
      <c r="E6" s="28" t="s">
        <v>73</v>
      </c>
      <c r="F6" s="30">
        <v>0</v>
      </c>
      <c r="G6" s="30">
        <v>82.29</v>
      </c>
      <c r="H6" s="30">
        <v>-82.29</v>
      </c>
      <c r="I6" s="28" t="s">
        <v>103</v>
      </c>
      <c r="J6" s="30">
        <v>-205725</v>
      </c>
      <c r="K6" s="30">
        <v>205725</v>
      </c>
      <c r="L6" s="28" t="s">
        <v>89</v>
      </c>
    </row>
    <row r="7" spans="1:12">
      <c r="A7" s="28" t="s">
        <v>19</v>
      </c>
      <c r="B7" s="28" t="s">
        <v>20</v>
      </c>
      <c r="C7" s="29">
        <v>2500</v>
      </c>
      <c r="D7" s="28" t="s">
        <v>51</v>
      </c>
      <c r="E7" s="28" t="s">
        <v>58</v>
      </c>
      <c r="F7" s="30">
        <v>0</v>
      </c>
      <c r="G7" s="30">
        <v>0</v>
      </c>
      <c r="H7" s="30">
        <v>0</v>
      </c>
      <c r="I7" s="28" t="s">
        <v>100</v>
      </c>
      <c r="J7" s="30">
        <v>0</v>
      </c>
      <c r="K7" s="30">
        <v>0</v>
      </c>
      <c r="L7" s="28" t="s">
        <v>95</v>
      </c>
    </row>
    <row r="8" spans="1:12">
      <c r="A8" s="28" t="s">
        <v>19</v>
      </c>
      <c r="B8" s="28" t="s">
        <v>20</v>
      </c>
      <c r="C8" s="29">
        <v>2500</v>
      </c>
      <c r="D8" s="28" t="s">
        <v>51</v>
      </c>
      <c r="E8" s="28" t="s">
        <v>69</v>
      </c>
      <c r="F8" s="30">
        <v>0</v>
      </c>
      <c r="G8" s="30">
        <v>156</v>
      </c>
      <c r="H8" s="30">
        <v>-156</v>
      </c>
      <c r="I8" s="28" t="s">
        <v>104</v>
      </c>
      <c r="J8" s="30">
        <v>-390000</v>
      </c>
      <c r="K8" s="30">
        <v>390000</v>
      </c>
      <c r="L8" s="28" t="s">
        <v>89</v>
      </c>
    </row>
    <row r="9" spans="1:12">
      <c r="A9" s="31" t="s">
        <v>19</v>
      </c>
      <c r="B9" s="31" t="s">
        <v>20</v>
      </c>
      <c r="C9" s="32">
        <v>2500</v>
      </c>
      <c r="D9" s="31" t="s">
        <v>51</v>
      </c>
      <c r="E9" s="31" t="s">
        <v>96</v>
      </c>
      <c r="F9" s="33">
        <v>1275.7645452720001</v>
      </c>
      <c r="G9" s="33">
        <v>1504.29</v>
      </c>
      <c r="H9" s="33">
        <v>-228.52545472799989</v>
      </c>
      <c r="I9" s="31" t="s">
        <v>105</v>
      </c>
      <c r="J9" s="33">
        <v>-571313.63681999967</v>
      </c>
      <c r="K9" s="33">
        <v>571313.63681999967</v>
      </c>
      <c r="L9" s="31" t="s">
        <v>98</v>
      </c>
    </row>
  </sheetData>
  <autoFilter ref="A2:L9" xr:uid="{00000000-0009-0000-0000-000003000000}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"/>
  <sheetViews>
    <sheetView workbookViewId="0">
      <pane ySplit="2" topLeftCell="A3" activePane="bottomLeft" state="frozen"/>
      <selection pane="bottomLeft" activeCell="D10" sqref="D10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106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67</v>
      </c>
      <c r="B3" s="28" t="s">
        <v>24</v>
      </c>
      <c r="C3" s="29">
        <v>16912</v>
      </c>
      <c r="D3" s="28" t="s">
        <v>18</v>
      </c>
      <c r="E3" s="28" t="s">
        <v>63</v>
      </c>
      <c r="F3" s="30">
        <v>1131.8</v>
      </c>
      <c r="G3" s="30">
        <v>986</v>
      </c>
      <c r="H3" s="30">
        <v>145.80000000000001</v>
      </c>
      <c r="I3" s="28" t="s">
        <v>107</v>
      </c>
      <c r="J3" s="30">
        <v>2465769.5999999992</v>
      </c>
      <c r="K3" s="30">
        <v>-2465769.5999999992</v>
      </c>
      <c r="L3" s="28" t="s">
        <v>87</v>
      </c>
    </row>
    <row r="4" spans="1:12">
      <c r="A4" s="28" t="s">
        <v>67</v>
      </c>
      <c r="B4" s="28" t="s">
        <v>24</v>
      </c>
      <c r="C4" s="29">
        <v>16912</v>
      </c>
      <c r="D4" s="28" t="s">
        <v>18</v>
      </c>
      <c r="E4" s="28" t="s">
        <v>54</v>
      </c>
      <c r="F4" s="30">
        <v>39.14</v>
      </c>
      <c r="G4" s="30">
        <v>290.18</v>
      </c>
      <c r="H4" s="30">
        <v>-251.04</v>
      </c>
      <c r="I4" s="28" t="s">
        <v>108</v>
      </c>
      <c r="J4" s="30">
        <v>-4245588.4800000004</v>
      </c>
      <c r="K4" s="30">
        <v>4245588.4800000004</v>
      </c>
      <c r="L4" s="28" t="s">
        <v>89</v>
      </c>
    </row>
    <row r="5" spans="1:12">
      <c r="A5" s="28" t="s">
        <v>67</v>
      </c>
      <c r="B5" s="28" t="s">
        <v>24</v>
      </c>
      <c r="C5" s="29">
        <v>16912</v>
      </c>
      <c r="D5" s="28" t="s">
        <v>18</v>
      </c>
      <c r="E5" s="28" t="s">
        <v>90</v>
      </c>
      <c r="F5" s="30">
        <v>4.6837600000000004</v>
      </c>
      <c r="G5" s="30">
        <v>0</v>
      </c>
      <c r="H5" s="30">
        <v>4.6837600000000004</v>
      </c>
      <c r="I5" s="28" t="s">
        <v>109</v>
      </c>
      <c r="J5" s="30">
        <v>79211.749120000008</v>
      </c>
      <c r="K5" s="30">
        <v>-79211.749120000008</v>
      </c>
      <c r="L5" s="28" t="s">
        <v>87</v>
      </c>
    </row>
    <row r="6" spans="1:12">
      <c r="A6" s="28" t="s">
        <v>67</v>
      </c>
      <c r="B6" s="28" t="s">
        <v>24</v>
      </c>
      <c r="C6" s="29">
        <v>16912</v>
      </c>
      <c r="D6" s="28" t="s">
        <v>18</v>
      </c>
      <c r="E6" s="28" t="s">
        <v>73</v>
      </c>
      <c r="F6" s="30">
        <v>23</v>
      </c>
      <c r="G6" s="30">
        <v>265.44</v>
      </c>
      <c r="H6" s="30">
        <v>-242.44</v>
      </c>
      <c r="I6" s="28" t="s">
        <v>110</v>
      </c>
      <c r="J6" s="30">
        <v>-4100145.28</v>
      </c>
      <c r="K6" s="30">
        <v>4100145.28</v>
      </c>
      <c r="L6" s="28" t="s">
        <v>89</v>
      </c>
    </row>
    <row r="7" spans="1:12">
      <c r="A7" s="28" t="s">
        <v>67</v>
      </c>
      <c r="B7" s="28" t="s">
        <v>24</v>
      </c>
      <c r="C7" s="29">
        <v>16912</v>
      </c>
      <c r="D7" s="28" t="s">
        <v>18</v>
      </c>
      <c r="E7" s="28" t="s">
        <v>58</v>
      </c>
      <c r="F7" s="30">
        <v>0</v>
      </c>
      <c r="G7" s="30">
        <v>0</v>
      </c>
      <c r="H7" s="30">
        <v>0</v>
      </c>
      <c r="I7" s="28" t="s">
        <v>111</v>
      </c>
      <c r="J7" s="30">
        <v>0</v>
      </c>
      <c r="K7" s="30">
        <v>0</v>
      </c>
      <c r="L7" s="28" t="s">
        <v>95</v>
      </c>
    </row>
    <row r="8" spans="1:12">
      <c r="A8" s="28" t="s">
        <v>67</v>
      </c>
      <c r="B8" s="28" t="s">
        <v>24</v>
      </c>
      <c r="C8" s="29">
        <v>16912</v>
      </c>
      <c r="D8" s="28" t="s">
        <v>18</v>
      </c>
      <c r="E8" s="28" t="s">
        <v>69</v>
      </c>
      <c r="F8" s="30">
        <v>0</v>
      </c>
      <c r="G8" s="30">
        <v>167</v>
      </c>
      <c r="H8" s="30">
        <v>-167</v>
      </c>
      <c r="I8" s="28" t="s">
        <v>112</v>
      </c>
      <c r="J8" s="30">
        <v>-2824304</v>
      </c>
      <c r="K8" s="30">
        <v>2824304</v>
      </c>
      <c r="L8" s="28" t="s">
        <v>89</v>
      </c>
    </row>
    <row r="9" spans="1:12">
      <c r="A9" s="31" t="s">
        <v>67</v>
      </c>
      <c r="B9" s="31" t="s">
        <v>24</v>
      </c>
      <c r="C9" s="32">
        <v>16912</v>
      </c>
      <c r="D9" s="31" t="s">
        <v>18</v>
      </c>
      <c r="E9" s="31" t="s">
        <v>96</v>
      </c>
      <c r="F9" s="33">
        <v>1198.6237599999999</v>
      </c>
      <c r="G9" s="33">
        <v>1708.62</v>
      </c>
      <c r="H9" s="33">
        <v>-509.99623999999989</v>
      </c>
      <c r="I9" s="31" t="s">
        <v>113</v>
      </c>
      <c r="J9" s="33">
        <v>-8625056.4108799994</v>
      </c>
      <c r="K9" s="33">
        <v>8625056.4108799994</v>
      </c>
      <c r="L9" s="31" t="s">
        <v>98</v>
      </c>
    </row>
    <row r="10" spans="1:12">
      <c r="A10" s="28" t="s">
        <v>67</v>
      </c>
      <c r="B10" s="28" t="s">
        <v>25</v>
      </c>
      <c r="C10" s="29">
        <v>16912</v>
      </c>
      <c r="D10" s="28" t="s">
        <v>18</v>
      </c>
      <c r="E10" s="28" t="s">
        <v>63</v>
      </c>
      <c r="F10" s="30">
        <v>1131.8</v>
      </c>
      <c r="G10" s="30">
        <v>986</v>
      </c>
      <c r="H10" s="30">
        <v>145.80000000000001</v>
      </c>
      <c r="I10" s="28" t="s">
        <v>107</v>
      </c>
      <c r="J10" s="30">
        <v>2465769.5999999992</v>
      </c>
      <c r="K10" s="30">
        <v>-2465769.5999999992</v>
      </c>
      <c r="L10" s="28" t="s">
        <v>87</v>
      </c>
    </row>
    <row r="11" spans="1:12">
      <c r="A11" s="28" t="s">
        <v>67</v>
      </c>
      <c r="B11" s="28" t="s">
        <v>25</v>
      </c>
      <c r="C11" s="29">
        <v>16912</v>
      </c>
      <c r="D11" s="28" t="s">
        <v>18</v>
      </c>
      <c r="E11" s="28" t="s">
        <v>54</v>
      </c>
      <c r="F11" s="30">
        <v>39.14</v>
      </c>
      <c r="G11" s="30">
        <v>270.18</v>
      </c>
      <c r="H11" s="30">
        <v>-231.04</v>
      </c>
      <c r="I11" s="28" t="s">
        <v>114</v>
      </c>
      <c r="J11" s="30">
        <v>-3907348.48</v>
      </c>
      <c r="K11" s="30">
        <v>3907348.48</v>
      </c>
      <c r="L11" s="28" t="s">
        <v>89</v>
      </c>
    </row>
    <row r="12" spans="1:12">
      <c r="A12" s="28" t="s">
        <v>67</v>
      </c>
      <c r="B12" s="28" t="s">
        <v>25</v>
      </c>
      <c r="C12" s="29">
        <v>16912</v>
      </c>
      <c r="D12" s="28" t="s">
        <v>18</v>
      </c>
      <c r="E12" s="28" t="s">
        <v>90</v>
      </c>
      <c r="F12" s="30">
        <v>4.6837600000000004</v>
      </c>
      <c r="G12" s="30">
        <v>0</v>
      </c>
      <c r="H12" s="30">
        <v>4.6837600000000004</v>
      </c>
      <c r="I12" s="28" t="s">
        <v>109</v>
      </c>
      <c r="J12" s="30">
        <v>79211.749120000008</v>
      </c>
      <c r="K12" s="30">
        <v>-79211.749120000008</v>
      </c>
      <c r="L12" s="28" t="s">
        <v>87</v>
      </c>
    </row>
    <row r="13" spans="1:12">
      <c r="A13" s="28" t="s">
        <v>67</v>
      </c>
      <c r="B13" s="28" t="s">
        <v>25</v>
      </c>
      <c r="C13" s="29">
        <v>16912</v>
      </c>
      <c r="D13" s="28" t="s">
        <v>18</v>
      </c>
      <c r="E13" s="28" t="s">
        <v>73</v>
      </c>
      <c r="F13" s="30">
        <v>23</v>
      </c>
      <c r="G13" s="30">
        <v>261.27999999999997</v>
      </c>
      <c r="H13" s="30">
        <v>-238.28</v>
      </c>
      <c r="I13" s="28" t="s">
        <v>115</v>
      </c>
      <c r="J13" s="30">
        <v>-4029791.3599999989</v>
      </c>
      <c r="K13" s="30">
        <v>4029791.3599999989</v>
      </c>
      <c r="L13" s="28" t="s">
        <v>89</v>
      </c>
    </row>
    <row r="14" spans="1:12">
      <c r="A14" s="28" t="s">
        <v>67</v>
      </c>
      <c r="B14" s="28" t="s">
        <v>25</v>
      </c>
      <c r="C14" s="29">
        <v>16912</v>
      </c>
      <c r="D14" s="28" t="s">
        <v>18</v>
      </c>
      <c r="E14" s="28" t="s">
        <v>58</v>
      </c>
      <c r="F14" s="30">
        <v>0</v>
      </c>
      <c r="G14" s="30">
        <v>0</v>
      </c>
      <c r="H14" s="30">
        <v>0</v>
      </c>
      <c r="I14" s="28" t="s">
        <v>111</v>
      </c>
      <c r="J14" s="30">
        <v>0</v>
      </c>
      <c r="K14" s="30">
        <v>0</v>
      </c>
      <c r="L14" s="28" t="s">
        <v>95</v>
      </c>
    </row>
    <row r="15" spans="1:12">
      <c r="A15" s="28" t="s">
        <v>67</v>
      </c>
      <c r="B15" s="28" t="s">
        <v>25</v>
      </c>
      <c r="C15" s="29">
        <v>16912</v>
      </c>
      <c r="D15" s="28" t="s">
        <v>18</v>
      </c>
      <c r="E15" s="28" t="s">
        <v>69</v>
      </c>
      <c r="F15" s="30">
        <v>0</v>
      </c>
      <c r="G15" s="30">
        <v>167</v>
      </c>
      <c r="H15" s="30">
        <v>-167</v>
      </c>
      <c r="I15" s="28" t="s">
        <v>112</v>
      </c>
      <c r="J15" s="30">
        <v>-2824304</v>
      </c>
      <c r="K15" s="30">
        <v>2824304</v>
      </c>
      <c r="L15" s="28" t="s">
        <v>89</v>
      </c>
    </row>
    <row r="16" spans="1:12">
      <c r="A16" s="31" t="s">
        <v>67</v>
      </c>
      <c r="B16" s="31" t="s">
        <v>25</v>
      </c>
      <c r="C16" s="32">
        <v>16912</v>
      </c>
      <c r="D16" s="31" t="s">
        <v>18</v>
      </c>
      <c r="E16" s="31" t="s">
        <v>96</v>
      </c>
      <c r="F16" s="33">
        <v>1198.6237599999999</v>
      </c>
      <c r="G16" s="33">
        <v>1684.46</v>
      </c>
      <c r="H16" s="33">
        <v>-485.83624000000009</v>
      </c>
      <c r="I16" s="31" t="s">
        <v>116</v>
      </c>
      <c r="J16" s="33">
        <v>-8216462.4908800013</v>
      </c>
      <c r="K16" s="33">
        <v>8216462.4908800013</v>
      </c>
      <c r="L16" s="31" t="s">
        <v>98</v>
      </c>
    </row>
    <row r="17" spans="1:12">
      <c r="A17" s="28" t="s">
        <v>67</v>
      </c>
      <c r="B17" s="28" t="s">
        <v>26</v>
      </c>
      <c r="C17" s="29">
        <v>9641</v>
      </c>
      <c r="D17" s="28" t="s">
        <v>18</v>
      </c>
      <c r="E17" s="28" t="s">
        <v>63</v>
      </c>
      <c r="F17" s="30">
        <v>1131.8</v>
      </c>
      <c r="G17" s="30">
        <v>986</v>
      </c>
      <c r="H17" s="30">
        <v>145.80000000000001</v>
      </c>
      <c r="I17" s="28" t="s">
        <v>117</v>
      </c>
      <c r="J17" s="30">
        <v>1405657.8</v>
      </c>
      <c r="K17" s="30">
        <v>-1405657.8</v>
      </c>
      <c r="L17" s="28" t="s">
        <v>87</v>
      </c>
    </row>
    <row r="18" spans="1:12">
      <c r="A18" s="28" t="s">
        <v>67</v>
      </c>
      <c r="B18" s="28" t="s">
        <v>26</v>
      </c>
      <c r="C18" s="29">
        <v>9641</v>
      </c>
      <c r="D18" s="28" t="s">
        <v>18</v>
      </c>
      <c r="E18" s="28" t="s">
        <v>54</v>
      </c>
      <c r="F18" s="30">
        <v>39.14</v>
      </c>
      <c r="G18" s="30">
        <v>225.82</v>
      </c>
      <c r="H18" s="30">
        <v>-186.68</v>
      </c>
      <c r="I18" s="28" t="s">
        <v>118</v>
      </c>
      <c r="J18" s="30">
        <v>-1799781.88</v>
      </c>
      <c r="K18" s="30">
        <v>1799781.88</v>
      </c>
      <c r="L18" s="28" t="s">
        <v>89</v>
      </c>
    </row>
    <row r="19" spans="1:12">
      <c r="A19" s="28" t="s">
        <v>67</v>
      </c>
      <c r="B19" s="28" t="s">
        <v>26</v>
      </c>
      <c r="C19" s="29">
        <v>9641</v>
      </c>
      <c r="D19" s="28" t="s">
        <v>18</v>
      </c>
      <c r="E19" s="28" t="s">
        <v>90</v>
      </c>
      <c r="F19" s="30">
        <v>4.6837600000000004</v>
      </c>
      <c r="G19" s="30">
        <v>0</v>
      </c>
      <c r="H19" s="30">
        <v>4.6837600000000004</v>
      </c>
      <c r="I19" s="28" t="s">
        <v>119</v>
      </c>
      <c r="J19" s="30">
        <v>45156.130160000001</v>
      </c>
      <c r="K19" s="30">
        <v>-45156.130160000001</v>
      </c>
      <c r="L19" s="28" t="s">
        <v>87</v>
      </c>
    </row>
    <row r="20" spans="1:12">
      <c r="A20" s="28" t="s">
        <v>67</v>
      </c>
      <c r="B20" s="28" t="s">
        <v>26</v>
      </c>
      <c r="C20" s="29">
        <v>9641</v>
      </c>
      <c r="D20" s="28" t="s">
        <v>18</v>
      </c>
      <c r="E20" s="28" t="s">
        <v>73</v>
      </c>
      <c r="F20" s="30">
        <v>23</v>
      </c>
      <c r="G20" s="30">
        <v>262.36399999999998</v>
      </c>
      <c r="H20" s="30">
        <v>-239.364</v>
      </c>
      <c r="I20" s="28" t="s">
        <v>120</v>
      </c>
      <c r="J20" s="30">
        <v>-2307708.324</v>
      </c>
      <c r="K20" s="30">
        <v>2307708.324</v>
      </c>
      <c r="L20" s="28" t="s">
        <v>89</v>
      </c>
    </row>
    <row r="21" spans="1:12">
      <c r="A21" s="28" t="s">
        <v>67</v>
      </c>
      <c r="B21" s="28" t="s">
        <v>26</v>
      </c>
      <c r="C21" s="29">
        <v>9641</v>
      </c>
      <c r="D21" s="28" t="s">
        <v>18</v>
      </c>
      <c r="E21" s="28" t="s">
        <v>58</v>
      </c>
      <c r="F21" s="30">
        <v>0</v>
      </c>
      <c r="G21" s="30">
        <v>0</v>
      </c>
      <c r="H21" s="30">
        <v>0</v>
      </c>
      <c r="I21" s="28" t="s">
        <v>121</v>
      </c>
      <c r="J21" s="30">
        <v>0</v>
      </c>
      <c r="K21" s="30">
        <v>0</v>
      </c>
      <c r="L21" s="28" t="s">
        <v>95</v>
      </c>
    </row>
    <row r="22" spans="1:12">
      <c r="A22" s="28" t="s">
        <v>67</v>
      </c>
      <c r="B22" s="28" t="s">
        <v>26</v>
      </c>
      <c r="C22" s="29">
        <v>9641</v>
      </c>
      <c r="D22" s="28" t="s">
        <v>18</v>
      </c>
      <c r="E22" s="28" t="s">
        <v>69</v>
      </c>
      <c r="F22" s="30">
        <v>0</v>
      </c>
      <c r="G22" s="30">
        <v>243.06559999999999</v>
      </c>
      <c r="H22" s="30">
        <v>-243.06559999999999</v>
      </c>
      <c r="I22" s="28" t="s">
        <v>122</v>
      </c>
      <c r="J22" s="30">
        <v>-2343395.4495999999</v>
      </c>
      <c r="K22" s="30">
        <v>2343395.4495999999</v>
      </c>
      <c r="L22" s="28" t="s">
        <v>89</v>
      </c>
    </row>
    <row r="23" spans="1:12">
      <c r="A23" s="31" t="s">
        <v>67</v>
      </c>
      <c r="B23" s="31" t="s">
        <v>26</v>
      </c>
      <c r="C23" s="32">
        <v>9641</v>
      </c>
      <c r="D23" s="31" t="s">
        <v>18</v>
      </c>
      <c r="E23" s="31" t="s">
        <v>96</v>
      </c>
      <c r="F23" s="33">
        <v>1198.6237599999999</v>
      </c>
      <c r="G23" s="33">
        <v>1717.2496000000001</v>
      </c>
      <c r="H23" s="33">
        <v>-518.62584000000015</v>
      </c>
      <c r="I23" s="31" t="s">
        <v>123</v>
      </c>
      <c r="J23" s="33">
        <v>-5000071.7234400017</v>
      </c>
      <c r="K23" s="33">
        <v>5000071.7234400017</v>
      </c>
      <c r="L23" s="31" t="s">
        <v>98</v>
      </c>
    </row>
    <row r="24" spans="1:12">
      <c r="A24" s="28" t="s">
        <v>67</v>
      </c>
      <c r="B24" s="28" t="s">
        <v>27</v>
      </c>
      <c r="C24" s="29">
        <v>27922</v>
      </c>
      <c r="D24" s="28" t="s">
        <v>18</v>
      </c>
      <c r="E24" s="28" t="s">
        <v>63</v>
      </c>
      <c r="F24" s="30">
        <v>1131.8</v>
      </c>
      <c r="G24" s="30">
        <v>1072</v>
      </c>
      <c r="H24" s="30">
        <v>59.799999999999947</v>
      </c>
      <c r="I24" s="28" t="s">
        <v>124</v>
      </c>
      <c r="J24" s="30">
        <v>1669735.5999999989</v>
      </c>
      <c r="K24" s="30">
        <v>-1669735.5999999989</v>
      </c>
      <c r="L24" s="28" t="s">
        <v>87</v>
      </c>
    </row>
    <row r="25" spans="1:12">
      <c r="A25" s="28" t="s">
        <v>67</v>
      </c>
      <c r="B25" s="28" t="s">
        <v>27</v>
      </c>
      <c r="C25" s="29">
        <v>27922</v>
      </c>
      <c r="D25" s="28" t="s">
        <v>18</v>
      </c>
      <c r="E25" s="28" t="s">
        <v>54</v>
      </c>
      <c r="F25" s="30">
        <v>39.14</v>
      </c>
      <c r="G25" s="30">
        <v>253.59</v>
      </c>
      <c r="H25" s="30">
        <v>-214.45</v>
      </c>
      <c r="I25" s="28" t="s">
        <v>125</v>
      </c>
      <c r="J25" s="30">
        <v>-5987872.8999999994</v>
      </c>
      <c r="K25" s="30">
        <v>5987872.8999999994</v>
      </c>
      <c r="L25" s="28" t="s">
        <v>89</v>
      </c>
    </row>
    <row r="26" spans="1:12">
      <c r="A26" s="28" t="s">
        <v>67</v>
      </c>
      <c r="B26" s="28" t="s">
        <v>27</v>
      </c>
      <c r="C26" s="29">
        <v>27922</v>
      </c>
      <c r="D26" s="28" t="s">
        <v>18</v>
      </c>
      <c r="E26" s="28" t="s">
        <v>90</v>
      </c>
      <c r="F26" s="30">
        <v>4.6837600000000004</v>
      </c>
      <c r="G26" s="30">
        <v>0</v>
      </c>
      <c r="H26" s="30">
        <v>4.6837600000000004</v>
      </c>
      <c r="I26" s="28" t="s">
        <v>126</v>
      </c>
      <c r="J26" s="30">
        <v>130779.94672000001</v>
      </c>
      <c r="K26" s="30">
        <v>-130779.94672000001</v>
      </c>
      <c r="L26" s="28" t="s">
        <v>87</v>
      </c>
    </row>
    <row r="27" spans="1:12">
      <c r="A27" s="28" t="s">
        <v>67</v>
      </c>
      <c r="B27" s="28" t="s">
        <v>27</v>
      </c>
      <c r="C27" s="29">
        <v>27922</v>
      </c>
      <c r="D27" s="28" t="s">
        <v>18</v>
      </c>
      <c r="E27" s="28" t="s">
        <v>73</v>
      </c>
      <c r="F27" s="30">
        <v>23</v>
      </c>
      <c r="G27" s="30">
        <v>0</v>
      </c>
      <c r="H27" s="30">
        <v>23</v>
      </c>
      <c r="I27" s="28" t="s">
        <v>127</v>
      </c>
      <c r="J27" s="30">
        <v>642206</v>
      </c>
      <c r="K27" s="30">
        <v>-642206</v>
      </c>
      <c r="L27" s="28" t="s">
        <v>87</v>
      </c>
    </row>
    <row r="28" spans="1:12">
      <c r="A28" s="28" t="s">
        <v>67</v>
      </c>
      <c r="B28" s="28" t="s">
        <v>27</v>
      </c>
      <c r="C28" s="29">
        <v>27922</v>
      </c>
      <c r="D28" s="28" t="s">
        <v>18</v>
      </c>
      <c r="E28" s="28" t="s">
        <v>58</v>
      </c>
      <c r="F28" s="30">
        <v>0</v>
      </c>
      <c r="G28" s="30">
        <v>337.68540000000002</v>
      </c>
      <c r="H28" s="30">
        <v>-337.68540000000002</v>
      </c>
      <c r="I28" s="28" t="s">
        <v>128</v>
      </c>
      <c r="J28" s="30">
        <v>-9428851.7388000004</v>
      </c>
      <c r="K28" s="30">
        <v>9428851.7388000004</v>
      </c>
      <c r="L28" s="28" t="s">
        <v>89</v>
      </c>
    </row>
    <row r="29" spans="1:12">
      <c r="A29" s="28" t="s">
        <v>67</v>
      </c>
      <c r="B29" s="28" t="s">
        <v>27</v>
      </c>
      <c r="C29" s="29">
        <v>27922</v>
      </c>
      <c r="D29" s="28" t="s">
        <v>18</v>
      </c>
      <c r="E29" s="28" t="s">
        <v>69</v>
      </c>
      <c r="F29" s="30">
        <v>0</v>
      </c>
      <c r="G29" s="30">
        <v>33.200000000000003</v>
      </c>
      <c r="H29" s="30">
        <v>-33.200000000000003</v>
      </c>
      <c r="I29" s="28" t="s">
        <v>129</v>
      </c>
      <c r="J29" s="30">
        <v>-927010.4</v>
      </c>
      <c r="K29" s="30">
        <v>927010.4</v>
      </c>
      <c r="L29" s="28" t="s">
        <v>89</v>
      </c>
    </row>
    <row r="30" spans="1:12" ht="29.1">
      <c r="A30" s="34" t="s">
        <v>67</v>
      </c>
      <c r="B30" s="34" t="s">
        <v>27</v>
      </c>
      <c r="C30" s="35">
        <v>27922</v>
      </c>
      <c r="D30" s="34" t="s">
        <v>18</v>
      </c>
      <c r="E30" s="34" t="s">
        <v>130</v>
      </c>
      <c r="F30" s="36"/>
      <c r="G30" s="36"/>
      <c r="H30" s="36">
        <v>-4.6000000000390173E-3</v>
      </c>
      <c r="I30" s="34" t="s">
        <v>131</v>
      </c>
      <c r="J30" s="36">
        <v>-128.44120000108941</v>
      </c>
      <c r="K30" s="36">
        <v>128.44120000108941</v>
      </c>
      <c r="L30" s="34" t="s">
        <v>132</v>
      </c>
    </row>
    <row r="31" spans="1:12">
      <c r="A31" s="31" t="s">
        <v>67</v>
      </c>
      <c r="B31" s="31" t="s">
        <v>27</v>
      </c>
      <c r="C31" s="32">
        <v>27922</v>
      </c>
      <c r="D31" s="31" t="s">
        <v>18</v>
      </c>
      <c r="E31" s="31" t="s">
        <v>96</v>
      </c>
      <c r="F31" s="33">
        <v>1198.6237599999999</v>
      </c>
      <c r="G31" s="33">
        <v>1696.48</v>
      </c>
      <c r="H31" s="33">
        <v>-497.85624000000013</v>
      </c>
      <c r="I31" s="31" t="s">
        <v>133</v>
      </c>
      <c r="J31" s="33">
        <v>-13901141.93328</v>
      </c>
      <c r="K31" s="33">
        <v>13901141.93328</v>
      </c>
      <c r="L31" s="31" t="s">
        <v>98</v>
      </c>
    </row>
    <row r="34" spans="1:12" ht="15.95">
      <c r="A34" s="24" t="s">
        <v>134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>
      <c r="A35" s="23" t="s">
        <v>135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7" spans="1:12">
      <c r="A37" s="37" t="s">
        <v>136</v>
      </c>
      <c r="B37" s="37" t="s">
        <v>137</v>
      </c>
      <c r="C37" s="37" t="s">
        <v>138</v>
      </c>
    </row>
    <row r="38" spans="1:12">
      <c r="A38" s="13" t="s">
        <v>139</v>
      </c>
      <c r="B38" s="14">
        <v>54475</v>
      </c>
      <c r="C38" s="14">
        <v>54475</v>
      </c>
    </row>
    <row r="39" spans="1:12">
      <c r="A39" s="13" t="s">
        <v>140</v>
      </c>
      <c r="B39" s="15">
        <v>92821299.393600002</v>
      </c>
      <c r="C39" s="15">
        <v>92412705.4736</v>
      </c>
    </row>
    <row r="40" spans="1:12">
      <c r="A40" s="13" t="s">
        <v>141</v>
      </c>
      <c r="B40" s="15">
        <v>65295029.325999998</v>
      </c>
      <c r="C40" s="15">
        <v>65295029.325999998</v>
      </c>
    </row>
    <row r="41" spans="1:12">
      <c r="A41" s="13" t="s">
        <v>142</v>
      </c>
      <c r="B41" s="15">
        <v>27526270.067600001</v>
      </c>
      <c r="C41" s="15">
        <v>27117676.147599999</v>
      </c>
    </row>
    <row r="42" spans="1:12">
      <c r="A42" s="13" t="s">
        <v>143</v>
      </c>
      <c r="B42" s="15">
        <v>1703.9247249857731</v>
      </c>
      <c r="C42" s="15">
        <v>1696.4241482074351</v>
      </c>
    </row>
  </sheetData>
  <autoFilter ref="A2:L31" xr:uid="{00000000-0009-0000-0000-000004000000}"/>
  <mergeCells count="3">
    <mergeCell ref="A35:L35"/>
    <mergeCell ref="A34:L34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topLeftCell="F1" workbookViewId="0">
      <pane ySplit="2" topLeftCell="A3" activePane="bottomLeft" state="frozen"/>
      <selection pane="bottomLeft" activeCell="J9" sqref="J9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144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8</v>
      </c>
      <c r="B3" s="28" t="s">
        <v>9</v>
      </c>
      <c r="C3" s="29">
        <v>7748</v>
      </c>
      <c r="D3" s="28" t="s">
        <v>51</v>
      </c>
      <c r="E3" s="28" t="s">
        <v>63</v>
      </c>
      <c r="F3" s="30">
        <v>1070</v>
      </c>
      <c r="G3" s="30">
        <v>1070</v>
      </c>
      <c r="H3" s="30">
        <v>0</v>
      </c>
      <c r="I3" s="28" t="s">
        <v>145</v>
      </c>
      <c r="J3" s="30">
        <v>0</v>
      </c>
      <c r="K3" s="30">
        <v>0</v>
      </c>
      <c r="L3" s="28" t="s">
        <v>95</v>
      </c>
    </row>
    <row r="4" spans="1:12">
      <c r="A4" s="28" t="s">
        <v>8</v>
      </c>
      <c r="B4" s="28" t="s">
        <v>9</v>
      </c>
      <c r="C4" s="29">
        <v>7748</v>
      </c>
      <c r="D4" s="28" t="s">
        <v>51</v>
      </c>
      <c r="E4" s="28" t="s">
        <v>54</v>
      </c>
      <c r="F4" s="30">
        <v>122.727273</v>
      </c>
      <c r="G4" s="30">
        <v>334</v>
      </c>
      <c r="H4" s="30">
        <v>-211.272727</v>
      </c>
      <c r="I4" s="28" t="s">
        <v>146</v>
      </c>
      <c r="J4" s="30">
        <v>-1636941.088796</v>
      </c>
      <c r="K4" s="30">
        <v>1636941.088796</v>
      </c>
      <c r="L4" s="28" t="s">
        <v>89</v>
      </c>
    </row>
    <row r="5" spans="1:12">
      <c r="A5" s="28" t="s">
        <v>8</v>
      </c>
      <c r="B5" s="28" t="s">
        <v>9</v>
      </c>
      <c r="C5" s="29">
        <v>7748</v>
      </c>
      <c r="D5" s="28" t="s">
        <v>51</v>
      </c>
      <c r="E5" s="28" t="s">
        <v>90</v>
      </c>
      <c r="F5" s="30">
        <v>4.7709090920000001</v>
      </c>
      <c r="G5" s="30">
        <v>0</v>
      </c>
      <c r="H5" s="30">
        <v>4.7709090920000001</v>
      </c>
      <c r="I5" s="28" t="s">
        <v>147</v>
      </c>
      <c r="J5" s="30">
        <v>36965.003644816003</v>
      </c>
      <c r="K5" s="30">
        <v>-36965.003644816003</v>
      </c>
      <c r="L5" s="28" t="s">
        <v>87</v>
      </c>
    </row>
    <row r="6" spans="1:12">
      <c r="A6" s="28" t="s">
        <v>8</v>
      </c>
      <c r="B6" s="28" t="s">
        <v>9</v>
      </c>
      <c r="C6" s="29">
        <v>7748</v>
      </c>
      <c r="D6" s="28" t="s">
        <v>51</v>
      </c>
      <c r="E6" s="28" t="s">
        <v>73</v>
      </c>
      <c r="F6" s="30">
        <v>0</v>
      </c>
      <c r="G6" s="30">
        <v>70.2</v>
      </c>
      <c r="H6" s="30">
        <v>-70.2</v>
      </c>
      <c r="I6" s="28" t="s">
        <v>148</v>
      </c>
      <c r="J6" s="30">
        <v>-543909.6</v>
      </c>
      <c r="K6" s="30">
        <v>543909.6</v>
      </c>
      <c r="L6" s="28" t="s">
        <v>89</v>
      </c>
    </row>
    <row r="7" spans="1:12">
      <c r="A7" s="28" t="s">
        <v>8</v>
      </c>
      <c r="B7" s="28" t="s">
        <v>9</v>
      </c>
      <c r="C7" s="29">
        <v>7748</v>
      </c>
      <c r="D7" s="28" t="s">
        <v>51</v>
      </c>
      <c r="E7" s="28" t="s">
        <v>58</v>
      </c>
      <c r="F7" s="30">
        <v>0</v>
      </c>
      <c r="G7" s="30">
        <v>112.36</v>
      </c>
      <c r="H7" s="30">
        <v>-112.36</v>
      </c>
      <c r="I7" s="28" t="s">
        <v>149</v>
      </c>
      <c r="J7" s="30">
        <v>-870565.28</v>
      </c>
      <c r="K7" s="30">
        <v>870565.28</v>
      </c>
      <c r="L7" s="28" t="s">
        <v>89</v>
      </c>
    </row>
    <row r="8" spans="1:12">
      <c r="A8" s="28" t="s">
        <v>8</v>
      </c>
      <c r="B8" s="28" t="s">
        <v>9</v>
      </c>
      <c r="C8" s="29">
        <v>7748</v>
      </c>
      <c r="D8" s="28" t="s">
        <v>51</v>
      </c>
      <c r="E8" s="28" t="s">
        <v>69</v>
      </c>
      <c r="F8" s="30">
        <v>0</v>
      </c>
      <c r="G8" s="30">
        <v>0</v>
      </c>
      <c r="H8" s="30">
        <v>0</v>
      </c>
      <c r="I8" s="28" t="s">
        <v>145</v>
      </c>
      <c r="J8" s="30">
        <v>0</v>
      </c>
      <c r="K8" s="30">
        <v>0</v>
      </c>
      <c r="L8" s="28" t="s">
        <v>95</v>
      </c>
    </row>
    <row r="9" spans="1:12">
      <c r="A9" s="31" t="s">
        <v>8</v>
      </c>
      <c r="B9" s="31" t="s">
        <v>9</v>
      </c>
      <c r="C9" s="32">
        <v>7748</v>
      </c>
      <c r="D9" s="31" t="s">
        <v>51</v>
      </c>
      <c r="E9" s="31" t="s">
        <v>96</v>
      </c>
      <c r="F9" s="33">
        <v>1197.498182092</v>
      </c>
      <c r="G9" s="33">
        <v>1586.56</v>
      </c>
      <c r="H9" s="33">
        <v>-389.06181790800002</v>
      </c>
      <c r="I9" s="31" t="s">
        <v>150</v>
      </c>
      <c r="J9" s="33">
        <v>-3014450.9651511838</v>
      </c>
      <c r="K9" s="33">
        <v>3014450.9651511838</v>
      </c>
      <c r="L9" s="31" t="s">
        <v>98</v>
      </c>
    </row>
  </sheetData>
  <autoFilter ref="A2:L9" xr:uid="{00000000-0009-0000-0000-000005000000}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workbookViewId="0">
      <pane ySplit="2" topLeftCell="A3" activePane="bottomLeft" state="frozen"/>
      <selection pane="bottomLeft" activeCell="D9" sqref="D9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10</v>
      </c>
      <c r="B3" s="28" t="s">
        <v>11</v>
      </c>
      <c r="C3" s="29">
        <v>3331</v>
      </c>
      <c r="D3" s="28" t="s">
        <v>56</v>
      </c>
      <c r="E3" s="28" t="s">
        <v>63</v>
      </c>
      <c r="F3" s="30">
        <v>1222.76</v>
      </c>
      <c r="G3" s="30">
        <v>1125</v>
      </c>
      <c r="H3" s="30">
        <v>97.759999999999991</v>
      </c>
      <c r="I3" s="28" t="s">
        <v>152</v>
      </c>
      <c r="J3" s="30">
        <v>325638.56</v>
      </c>
      <c r="K3" s="30">
        <v>-325638.56</v>
      </c>
      <c r="L3" s="28" t="s">
        <v>87</v>
      </c>
    </row>
    <row r="4" spans="1:12">
      <c r="A4" s="28" t="s">
        <v>10</v>
      </c>
      <c r="B4" s="28" t="s">
        <v>11</v>
      </c>
      <c r="C4" s="29">
        <v>3331</v>
      </c>
      <c r="D4" s="28" t="s">
        <v>56</v>
      </c>
      <c r="E4" s="28" t="s">
        <v>54</v>
      </c>
      <c r="F4" s="30">
        <v>90.909090909090907</v>
      </c>
      <c r="G4" s="30">
        <v>239.25</v>
      </c>
      <c r="H4" s="30">
        <v>-148.34090909090909</v>
      </c>
      <c r="I4" s="28" t="s">
        <v>153</v>
      </c>
      <c r="J4" s="30">
        <v>-494123.56818181818</v>
      </c>
      <c r="K4" s="30">
        <v>494123.56818181818</v>
      </c>
      <c r="L4" s="28" t="s">
        <v>89</v>
      </c>
    </row>
    <row r="5" spans="1:12">
      <c r="A5" s="28" t="s">
        <v>10</v>
      </c>
      <c r="B5" s="28" t="s">
        <v>11</v>
      </c>
      <c r="C5" s="29">
        <v>3331</v>
      </c>
      <c r="D5" s="28" t="s">
        <v>56</v>
      </c>
      <c r="E5" s="28" t="s">
        <v>90</v>
      </c>
      <c r="F5" s="30">
        <v>5.2546763636363636</v>
      </c>
      <c r="G5" s="30">
        <v>0</v>
      </c>
      <c r="H5" s="30">
        <v>5.2546763636363636</v>
      </c>
      <c r="I5" s="28" t="s">
        <v>154</v>
      </c>
      <c r="J5" s="30">
        <v>17503.326967272729</v>
      </c>
      <c r="K5" s="30">
        <v>-17503.326967272729</v>
      </c>
      <c r="L5" s="28" t="s">
        <v>87</v>
      </c>
    </row>
    <row r="6" spans="1:12">
      <c r="A6" s="28" t="s">
        <v>10</v>
      </c>
      <c r="B6" s="28" t="s">
        <v>11</v>
      </c>
      <c r="C6" s="29">
        <v>3331</v>
      </c>
      <c r="D6" s="28" t="s">
        <v>56</v>
      </c>
      <c r="E6" s="28" t="s">
        <v>73</v>
      </c>
      <c r="F6" s="30">
        <v>0</v>
      </c>
      <c r="G6" s="30">
        <v>0</v>
      </c>
      <c r="H6" s="30">
        <v>0</v>
      </c>
      <c r="I6" s="28" t="s">
        <v>155</v>
      </c>
      <c r="J6" s="30">
        <v>0</v>
      </c>
      <c r="K6" s="30">
        <v>0</v>
      </c>
      <c r="L6" s="28" t="s">
        <v>95</v>
      </c>
    </row>
    <row r="7" spans="1:12">
      <c r="A7" s="28" t="s">
        <v>10</v>
      </c>
      <c r="B7" s="28" t="s">
        <v>11</v>
      </c>
      <c r="C7" s="29">
        <v>3331</v>
      </c>
      <c r="D7" s="28" t="s">
        <v>56</v>
      </c>
      <c r="E7" s="28" t="s">
        <v>58</v>
      </c>
      <c r="F7" s="30">
        <v>5.2756950690909088</v>
      </c>
      <c r="G7" s="30">
        <v>64</v>
      </c>
      <c r="H7" s="30">
        <v>-58.724304930909092</v>
      </c>
      <c r="I7" s="28" t="s">
        <v>156</v>
      </c>
      <c r="J7" s="30">
        <v>-195610.65972485821</v>
      </c>
      <c r="K7" s="30">
        <v>195610.65972485821</v>
      </c>
      <c r="L7" s="28" t="s">
        <v>89</v>
      </c>
    </row>
    <row r="8" spans="1:12">
      <c r="A8" s="28" t="s">
        <v>10</v>
      </c>
      <c r="B8" s="28" t="s">
        <v>11</v>
      </c>
      <c r="C8" s="29">
        <v>3331</v>
      </c>
      <c r="D8" s="28" t="s">
        <v>56</v>
      </c>
      <c r="E8" s="28" t="s">
        <v>69</v>
      </c>
      <c r="F8" s="30">
        <v>0</v>
      </c>
      <c r="G8" s="30">
        <v>0</v>
      </c>
      <c r="H8" s="30">
        <v>0</v>
      </c>
      <c r="I8" s="28" t="s">
        <v>155</v>
      </c>
      <c r="J8" s="30">
        <v>0</v>
      </c>
      <c r="K8" s="30">
        <v>0</v>
      </c>
      <c r="L8" s="28" t="s">
        <v>95</v>
      </c>
    </row>
    <row r="9" spans="1:12">
      <c r="A9" s="31" t="s">
        <v>10</v>
      </c>
      <c r="B9" s="31" t="s">
        <v>11</v>
      </c>
      <c r="C9" s="32">
        <v>3331</v>
      </c>
      <c r="D9" s="31" t="s">
        <v>56</v>
      </c>
      <c r="E9" s="31" t="s">
        <v>96</v>
      </c>
      <c r="F9" s="33">
        <v>1324.1994623418179</v>
      </c>
      <c r="G9" s="33">
        <v>1428.25</v>
      </c>
      <c r="H9" s="33">
        <v>-104.0505376581818</v>
      </c>
      <c r="I9" s="31" t="s">
        <v>157</v>
      </c>
      <c r="J9" s="33">
        <v>-346592.34093940369</v>
      </c>
      <c r="K9" s="33">
        <v>346592.34093940369</v>
      </c>
      <c r="L9" s="31" t="s">
        <v>98</v>
      </c>
    </row>
  </sheetData>
  <autoFilter ref="A2:L9" xr:uid="{00000000-0009-0000-0000-000006000000}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"/>
  <sheetViews>
    <sheetView workbookViewId="0">
      <pane ySplit="2" topLeftCell="A3" activePane="bottomLeft" state="frozen"/>
      <selection pane="bottomLeft" activeCell="A5" sqref="A2:XFD5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158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12</v>
      </c>
      <c r="B3" s="28" t="s">
        <v>9</v>
      </c>
      <c r="C3" s="29">
        <v>1287</v>
      </c>
      <c r="D3" s="28" t="s">
        <v>51</v>
      </c>
      <c r="E3" s="28" t="s">
        <v>63</v>
      </c>
      <c r="F3" s="30">
        <v>1070</v>
      </c>
      <c r="G3" s="30">
        <v>1070</v>
      </c>
      <c r="H3" s="30">
        <v>0</v>
      </c>
      <c r="I3" s="28" t="s">
        <v>159</v>
      </c>
      <c r="J3" s="30">
        <v>0</v>
      </c>
      <c r="K3" s="30">
        <v>0</v>
      </c>
      <c r="L3" s="28" t="s">
        <v>95</v>
      </c>
    </row>
    <row r="4" spans="1:12">
      <c r="A4" s="28" t="s">
        <v>12</v>
      </c>
      <c r="B4" s="28" t="s">
        <v>9</v>
      </c>
      <c r="C4" s="29">
        <v>1287</v>
      </c>
      <c r="D4" s="28" t="s">
        <v>51</v>
      </c>
      <c r="E4" s="28" t="s">
        <v>54</v>
      </c>
      <c r="F4" s="30">
        <v>239.272727</v>
      </c>
      <c r="G4" s="30">
        <v>290</v>
      </c>
      <c r="H4" s="30">
        <v>-50.727272999999997</v>
      </c>
      <c r="I4" s="28" t="s">
        <v>160</v>
      </c>
      <c r="J4" s="30">
        <v>-65286.000351000002</v>
      </c>
      <c r="K4" s="30">
        <v>65286.000351000002</v>
      </c>
      <c r="L4" s="28" t="s">
        <v>89</v>
      </c>
    </row>
    <row r="5" spans="1:12">
      <c r="A5" s="28" t="s">
        <v>12</v>
      </c>
      <c r="B5" s="28" t="s">
        <v>9</v>
      </c>
      <c r="C5" s="29">
        <v>1287</v>
      </c>
      <c r="D5" s="28" t="s">
        <v>51</v>
      </c>
      <c r="E5" s="28" t="s">
        <v>90</v>
      </c>
      <c r="F5" s="30">
        <v>5.2370909079999999</v>
      </c>
      <c r="G5" s="30">
        <v>0</v>
      </c>
      <c r="H5" s="30">
        <v>5.2370909079999999</v>
      </c>
      <c r="I5" s="28" t="s">
        <v>161</v>
      </c>
      <c r="J5" s="30">
        <v>6740.1359985959998</v>
      </c>
      <c r="K5" s="30">
        <v>-6740.1359985959998</v>
      </c>
      <c r="L5" s="28" t="s">
        <v>87</v>
      </c>
    </row>
    <row r="6" spans="1:12">
      <c r="A6" s="28" t="s">
        <v>12</v>
      </c>
      <c r="B6" s="28" t="s">
        <v>9</v>
      </c>
      <c r="C6" s="29">
        <v>1287</v>
      </c>
      <c r="D6" s="28" t="s">
        <v>51</v>
      </c>
      <c r="E6" s="28" t="s">
        <v>73</v>
      </c>
      <c r="F6" s="30">
        <v>6.5725490895400007</v>
      </c>
      <c r="G6" s="30">
        <v>0</v>
      </c>
      <c r="H6" s="30">
        <v>6.5725490895400007</v>
      </c>
      <c r="I6" s="28" t="s">
        <v>162</v>
      </c>
      <c r="J6" s="30">
        <v>8458.8706782379813</v>
      </c>
      <c r="K6" s="30">
        <v>-8458.8706782379813</v>
      </c>
      <c r="L6" s="28" t="s">
        <v>87</v>
      </c>
    </row>
    <row r="7" spans="1:12">
      <c r="A7" s="28" t="s">
        <v>12</v>
      </c>
      <c r="B7" s="28" t="s">
        <v>9</v>
      </c>
      <c r="C7" s="29">
        <v>1287</v>
      </c>
      <c r="D7" s="28" t="s">
        <v>51</v>
      </c>
      <c r="E7" s="28" t="s">
        <v>58</v>
      </c>
      <c r="F7" s="30">
        <v>0</v>
      </c>
      <c r="G7" s="30">
        <v>136.08000000000001</v>
      </c>
      <c r="H7" s="30">
        <v>-136.08000000000001</v>
      </c>
      <c r="I7" s="28" t="s">
        <v>163</v>
      </c>
      <c r="J7" s="30">
        <v>-175134.96</v>
      </c>
      <c r="K7" s="30">
        <v>175134.96</v>
      </c>
      <c r="L7" s="28" t="s">
        <v>89</v>
      </c>
    </row>
    <row r="8" spans="1:12">
      <c r="A8" s="28" t="s">
        <v>12</v>
      </c>
      <c r="B8" s="28" t="s">
        <v>9</v>
      </c>
      <c r="C8" s="29">
        <v>1287</v>
      </c>
      <c r="D8" s="28" t="s">
        <v>51</v>
      </c>
      <c r="E8" s="28" t="s">
        <v>69</v>
      </c>
      <c r="F8" s="30">
        <v>0</v>
      </c>
      <c r="G8" s="30">
        <v>0</v>
      </c>
      <c r="H8" s="30">
        <v>0</v>
      </c>
      <c r="I8" s="28" t="s">
        <v>159</v>
      </c>
      <c r="J8" s="30">
        <v>0</v>
      </c>
      <c r="K8" s="30">
        <v>0</v>
      </c>
      <c r="L8" s="28" t="s">
        <v>95</v>
      </c>
    </row>
    <row r="9" spans="1:12">
      <c r="A9" s="31" t="s">
        <v>12</v>
      </c>
      <c r="B9" s="31" t="s">
        <v>9</v>
      </c>
      <c r="C9" s="32">
        <v>1287</v>
      </c>
      <c r="D9" s="31" t="s">
        <v>51</v>
      </c>
      <c r="E9" s="31" t="s">
        <v>96</v>
      </c>
      <c r="F9" s="33">
        <v>1321.08236699754</v>
      </c>
      <c r="G9" s="33">
        <v>1496.08</v>
      </c>
      <c r="H9" s="33">
        <v>-174.99763300245991</v>
      </c>
      <c r="I9" s="31" t="s">
        <v>164</v>
      </c>
      <c r="J9" s="33">
        <v>-225221.95367416591</v>
      </c>
      <c r="K9" s="33">
        <v>225221.95367416591</v>
      </c>
      <c r="L9" s="31" t="s">
        <v>98</v>
      </c>
    </row>
  </sheetData>
  <autoFilter ref="A2:L9" xr:uid="{00000000-0009-0000-0000-000007000000}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workbookViewId="0">
      <pane ySplit="2" topLeftCell="A3" activePane="bottomLeft" state="frozen"/>
      <selection pane="bottomLeft" activeCell="A5" sqref="A2:XFD5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165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13</v>
      </c>
      <c r="B3" s="28" t="s">
        <v>9</v>
      </c>
      <c r="C3" s="29">
        <v>8360</v>
      </c>
      <c r="D3" s="28" t="s">
        <v>56</v>
      </c>
      <c r="E3" s="28" t="s">
        <v>63</v>
      </c>
      <c r="F3" s="30">
        <v>1354.8</v>
      </c>
      <c r="G3" s="30">
        <v>1197.7</v>
      </c>
      <c r="H3" s="30">
        <v>157.09999999999991</v>
      </c>
      <c r="I3" s="28" t="s">
        <v>166</v>
      </c>
      <c r="J3" s="30">
        <v>1313355.9999999991</v>
      </c>
      <c r="K3" s="30">
        <v>-1313355.9999999991</v>
      </c>
      <c r="L3" s="28" t="s">
        <v>87</v>
      </c>
    </row>
    <row r="4" spans="1:12">
      <c r="A4" s="28" t="s">
        <v>13</v>
      </c>
      <c r="B4" s="28" t="s">
        <v>9</v>
      </c>
      <c r="C4" s="29">
        <v>8360</v>
      </c>
      <c r="D4" s="28" t="s">
        <v>56</v>
      </c>
      <c r="E4" s="28" t="s">
        <v>54</v>
      </c>
      <c r="F4" s="30">
        <v>98.13636363636364</v>
      </c>
      <c r="G4" s="30">
        <v>189</v>
      </c>
      <c r="H4" s="30">
        <v>-90.86363636363636</v>
      </c>
      <c r="I4" s="28" t="s">
        <v>167</v>
      </c>
      <c r="J4" s="30">
        <v>-759620</v>
      </c>
      <c r="K4" s="30">
        <v>759620</v>
      </c>
      <c r="L4" s="28" t="s">
        <v>89</v>
      </c>
    </row>
    <row r="5" spans="1:12">
      <c r="A5" s="28" t="s">
        <v>13</v>
      </c>
      <c r="B5" s="28" t="s">
        <v>9</v>
      </c>
      <c r="C5" s="29">
        <v>8360</v>
      </c>
      <c r="D5" s="28" t="s">
        <v>56</v>
      </c>
      <c r="E5" s="28" t="s">
        <v>90</v>
      </c>
      <c r="F5" s="30">
        <v>5.8117454545454548</v>
      </c>
      <c r="G5" s="30">
        <v>56.08</v>
      </c>
      <c r="H5" s="30">
        <v>-50.268254545454553</v>
      </c>
      <c r="I5" s="28" t="s">
        <v>168</v>
      </c>
      <c r="J5" s="30">
        <v>-420242.60800000001</v>
      </c>
      <c r="K5" s="30">
        <v>420242.60800000001</v>
      </c>
      <c r="L5" s="28" t="s">
        <v>89</v>
      </c>
    </row>
    <row r="6" spans="1:12">
      <c r="A6" s="28" t="s">
        <v>13</v>
      </c>
      <c r="B6" s="28" t="s">
        <v>9</v>
      </c>
      <c r="C6" s="29">
        <v>8360</v>
      </c>
      <c r="D6" s="28" t="s">
        <v>56</v>
      </c>
      <c r="E6" s="28" t="s">
        <v>73</v>
      </c>
      <c r="F6" s="30">
        <v>0</v>
      </c>
      <c r="G6" s="30">
        <v>0</v>
      </c>
      <c r="H6" s="30">
        <v>0</v>
      </c>
      <c r="I6" s="28" t="s">
        <v>169</v>
      </c>
      <c r="J6" s="30">
        <v>0</v>
      </c>
      <c r="K6" s="30">
        <v>0</v>
      </c>
      <c r="L6" s="28" t="s">
        <v>95</v>
      </c>
    </row>
    <row r="7" spans="1:12">
      <c r="A7" s="28" t="s">
        <v>13</v>
      </c>
      <c r="B7" s="28" t="s">
        <v>9</v>
      </c>
      <c r="C7" s="29">
        <v>8360</v>
      </c>
      <c r="D7" s="28" t="s">
        <v>56</v>
      </c>
      <c r="E7" s="28" t="s">
        <v>58</v>
      </c>
      <c r="F7" s="30">
        <v>18</v>
      </c>
      <c r="G7" s="30">
        <v>64.84</v>
      </c>
      <c r="H7" s="30">
        <v>-46.84</v>
      </c>
      <c r="I7" s="28" t="s">
        <v>170</v>
      </c>
      <c r="J7" s="30">
        <v>-391582.4</v>
      </c>
      <c r="K7" s="30">
        <v>391582.4</v>
      </c>
      <c r="L7" s="28" t="s">
        <v>89</v>
      </c>
    </row>
    <row r="8" spans="1:12">
      <c r="A8" s="28" t="s">
        <v>13</v>
      </c>
      <c r="B8" s="28" t="s">
        <v>9</v>
      </c>
      <c r="C8" s="29">
        <v>8360</v>
      </c>
      <c r="D8" s="28" t="s">
        <v>56</v>
      </c>
      <c r="E8" s="28" t="s">
        <v>69</v>
      </c>
      <c r="F8" s="30">
        <v>0</v>
      </c>
      <c r="G8" s="30">
        <v>0</v>
      </c>
      <c r="H8" s="30">
        <v>0</v>
      </c>
      <c r="I8" s="28" t="s">
        <v>169</v>
      </c>
      <c r="J8" s="30">
        <v>0</v>
      </c>
      <c r="K8" s="30">
        <v>0</v>
      </c>
      <c r="L8" s="28" t="s">
        <v>95</v>
      </c>
    </row>
    <row r="9" spans="1:12">
      <c r="A9" s="31" t="s">
        <v>13</v>
      </c>
      <c r="B9" s="31" t="s">
        <v>9</v>
      </c>
      <c r="C9" s="32">
        <v>8360</v>
      </c>
      <c r="D9" s="31" t="s">
        <v>56</v>
      </c>
      <c r="E9" s="31" t="s">
        <v>96</v>
      </c>
      <c r="F9" s="33">
        <v>1476.7481090909091</v>
      </c>
      <c r="G9" s="33">
        <v>1507.62</v>
      </c>
      <c r="H9" s="33">
        <v>-30.87189090909078</v>
      </c>
      <c r="I9" s="31" t="s">
        <v>171</v>
      </c>
      <c r="J9" s="33">
        <v>-258089.0079999989</v>
      </c>
      <c r="K9" s="33">
        <v>258089.0079999989</v>
      </c>
      <c r="L9" s="31" t="s">
        <v>98</v>
      </c>
    </row>
  </sheetData>
  <autoFilter ref="A2:L9" xr:uid="{00000000-0009-0000-0000-000008000000}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9"/>
  <sheetViews>
    <sheetView workbookViewId="0">
      <pane ySplit="2" topLeftCell="A3" activePane="bottomLeft" state="frozen"/>
      <selection pane="bottomLeft" activeCell="A5" sqref="A2:XFD5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172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14</v>
      </c>
      <c r="B3" s="28" t="s">
        <v>9</v>
      </c>
      <c r="C3" s="29">
        <v>16710</v>
      </c>
      <c r="D3" s="28" t="s">
        <v>56</v>
      </c>
      <c r="E3" s="28" t="s">
        <v>63</v>
      </c>
      <c r="F3" s="30">
        <v>1354.8</v>
      </c>
      <c r="G3" s="30">
        <v>1197.7</v>
      </c>
      <c r="H3" s="30">
        <v>157.09999999999991</v>
      </c>
      <c r="I3" s="28" t="s">
        <v>173</v>
      </c>
      <c r="J3" s="30">
        <v>2625140.9999999991</v>
      </c>
      <c r="K3" s="30">
        <v>-2625140.9999999991</v>
      </c>
      <c r="L3" s="28" t="s">
        <v>87</v>
      </c>
    </row>
    <row r="4" spans="1:12">
      <c r="A4" s="28" t="s">
        <v>14</v>
      </c>
      <c r="B4" s="28" t="s">
        <v>9</v>
      </c>
      <c r="C4" s="29">
        <v>16710</v>
      </c>
      <c r="D4" s="28" t="s">
        <v>56</v>
      </c>
      <c r="E4" s="28" t="s">
        <v>54</v>
      </c>
      <c r="F4" s="30">
        <v>98.13636363636364</v>
      </c>
      <c r="G4" s="30">
        <v>189</v>
      </c>
      <c r="H4" s="30">
        <v>-90.86363636363636</v>
      </c>
      <c r="I4" s="28" t="s">
        <v>174</v>
      </c>
      <c r="J4" s="30">
        <v>-1518331.363636364</v>
      </c>
      <c r="K4" s="30">
        <v>1518331.363636364</v>
      </c>
      <c r="L4" s="28" t="s">
        <v>89</v>
      </c>
    </row>
    <row r="5" spans="1:12">
      <c r="A5" s="28" t="s">
        <v>14</v>
      </c>
      <c r="B5" s="28" t="s">
        <v>9</v>
      </c>
      <c r="C5" s="29">
        <v>16710</v>
      </c>
      <c r="D5" s="28" t="s">
        <v>56</v>
      </c>
      <c r="E5" s="28" t="s">
        <v>90</v>
      </c>
      <c r="F5" s="30">
        <v>5.8117454545454548</v>
      </c>
      <c r="G5" s="30">
        <v>56.08</v>
      </c>
      <c r="H5" s="30">
        <v>-50.268254545454553</v>
      </c>
      <c r="I5" s="28" t="s">
        <v>175</v>
      </c>
      <c r="J5" s="30">
        <v>-839982.53345454542</v>
      </c>
      <c r="K5" s="30">
        <v>839982.53345454542</v>
      </c>
      <c r="L5" s="28" t="s">
        <v>89</v>
      </c>
    </row>
    <row r="6" spans="1:12">
      <c r="A6" s="28" t="s">
        <v>14</v>
      </c>
      <c r="B6" s="28" t="s">
        <v>9</v>
      </c>
      <c r="C6" s="29">
        <v>16710</v>
      </c>
      <c r="D6" s="28" t="s">
        <v>56</v>
      </c>
      <c r="E6" s="28" t="s">
        <v>73</v>
      </c>
      <c r="F6" s="30">
        <v>0</v>
      </c>
      <c r="G6" s="30">
        <v>0</v>
      </c>
      <c r="H6" s="30">
        <v>0</v>
      </c>
      <c r="I6" s="28" t="s">
        <v>176</v>
      </c>
      <c r="J6" s="30">
        <v>0</v>
      </c>
      <c r="K6" s="30">
        <v>0</v>
      </c>
      <c r="L6" s="28" t="s">
        <v>95</v>
      </c>
    </row>
    <row r="7" spans="1:12">
      <c r="A7" s="28" t="s">
        <v>14</v>
      </c>
      <c r="B7" s="28" t="s">
        <v>9</v>
      </c>
      <c r="C7" s="29">
        <v>16710</v>
      </c>
      <c r="D7" s="28" t="s">
        <v>56</v>
      </c>
      <c r="E7" s="28" t="s">
        <v>58</v>
      </c>
      <c r="F7" s="30">
        <v>50</v>
      </c>
      <c r="G7" s="30">
        <v>64.84</v>
      </c>
      <c r="H7" s="30">
        <v>-14.84</v>
      </c>
      <c r="I7" s="28" t="s">
        <v>177</v>
      </c>
      <c r="J7" s="30">
        <v>-247976.40000000011</v>
      </c>
      <c r="K7" s="30">
        <v>247976.40000000011</v>
      </c>
      <c r="L7" s="28" t="s">
        <v>89</v>
      </c>
    </row>
    <row r="8" spans="1:12">
      <c r="A8" s="28" t="s">
        <v>14</v>
      </c>
      <c r="B8" s="28" t="s">
        <v>9</v>
      </c>
      <c r="C8" s="29">
        <v>16710</v>
      </c>
      <c r="D8" s="28" t="s">
        <v>56</v>
      </c>
      <c r="E8" s="28" t="s">
        <v>69</v>
      </c>
      <c r="F8" s="30">
        <v>0</v>
      </c>
      <c r="G8" s="30">
        <v>0</v>
      </c>
      <c r="H8" s="30">
        <v>0</v>
      </c>
      <c r="I8" s="28" t="s">
        <v>176</v>
      </c>
      <c r="J8" s="30">
        <v>0</v>
      </c>
      <c r="K8" s="30">
        <v>0</v>
      </c>
      <c r="L8" s="28" t="s">
        <v>95</v>
      </c>
    </row>
    <row r="9" spans="1:12">
      <c r="A9" s="38" t="s">
        <v>14</v>
      </c>
      <c r="B9" s="38" t="s">
        <v>9</v>
      </c>
      <c r="C9" s="39">
        <v>16710</v>
      </c>
      <c r="D9" s="38" t="s">
        <v>56</v>
      </c>
      <c r="E9" s="38" t="s">
        <v>96</v>
      </c>
      <c r="F9" s="40">
        <v>1508.7481090909091</v>
      </c>
      <c r="G9" s="40">
        <v>1507.62</v>
      </c>
      <c r="H9" s="40">
        <v>1.12810909090922</v>
      </c>
      <c r="I9" s="38" t="s">
        <v>178</v>
      </c>
      <c r="J9" s="40">
        <v>18850.70290909307</v>
      </c>
      <c r="K9" s="40">
        <v>-18850.70290909307</v>
      </c>
      <c r="L9" s="38" t="s">
        <v>179</v>
      </c>
    </row>
  </sheetData>
  <autoFilter ref="A2:L9" xr:uid="{00000000-0009-0000-0000-000009000000}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"/>
  <sheetViews>
    <sheetView workbookViewId="0">
      <pane ySplit="2" topLeftCell="A3" activePane="bottomLeft" state="frozen"/>
      <selection pane="bottomLeft" activeCell="A5" sqref="A2:XFD5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180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15</v>
      </c>
      <c r="B3" s="28" t="s">
        <v>16</v>
      </c>
      <c r="C3" s="29">
        <v>1357</v>
      </c>
      <c r="D3" s="28" t="s">
        <v>51</v>
      </c>
      <c r="E3" s="28" t="s">
        <v>63</v>
      </c>
      <c r="F3" s="30">
        <v>1070</v>
      </c>
      <c r="G3" s="30">
        <v>1125</v>
      </c>
      <c r="H3" s="30">
        <v>-55</v>
      </c>
      <c r="I3" s="28" t="s">
        <v>181</v>
      </c>
      <c r="J3" s="30">
        <v>-74635</v>
      </c>
      <c r="K3" s="30">
        <v>74635</v>
      </c>
      <c r="L3" s="28" t="s">
        <v>89</v>
      </c>
    </row>
    <row r="4" spans="1:12">
      <c r="A4" s="28" t="s">
        <v>15</v>
      </c>
      <c r="B4" s="28" t="s">
        <v>16</v>
      </c>
      <c r="C4" s="29">
        <v>1357</v>
      </c>
      <c r="D4" s="28" t="s">
        <v>51</v>
      </c>
      <c r="E4" s="28" t="s">
        <v>54</v>
      </c>
      <c r="F4" s="30">
        <v>205.519091</v>
      </c>
      <c r="G4" s="30">
        <v>161</v>
      </c>
      <c r="H4" s="30">
        <v>44.519091000000003</v>
      </c>
      <c r="I4" s="28" t="s">
        <v>182</v>
      </c>
      <c r="J4" s="30">
        <v>60412.406487000007</v>
      </c>
      <c r="K4" s="30">
        <v>-60412.406487000007</v>
      </c>
      <c r="L4" s="28" t="s">
        <v>87</v>
      </c>
    </row>
    <row r="5" spans="1:12">
      <c r="A5" s="28" t="s">
        <v>15</v>
      </c>
      <c r="B5" s="28" t="s">
        <v>16</v>
      </c>
      <c r="C5" s="29">
        <v>1357</v>
      </c>
      <c r="D5" s="28" t="s">
        <v>51</v>
      </c>
      <c r="E5" s="28" t="s">
        <v>90</v>
      </c>
      <c r="F5" s="30">
        <v>5.1020763640000002</v>
      </c>
      <c r="G5" s="30">
        <v>0</v>
      </c>
      <c r="H5" s="30">
        <v>5.1020763640000002</v>
      </c>
      <c r="I5" s="28" t="s">
        <v>183</v>
      </c>
      <c r="J5" s="30">
        <v>6923.5176259480004</v>
      </c>
      <c r="K5" s="30">
        <v>-6923.5176259480004</v>
      </c>
      <c r="L5" s="28" t="s">
        <v>87</v>
      </c>
    </row>
    <row r="6" spans="1:12">
      <c r="A6" s="28" t="s">
        <v>15</v>
      </c>
      <c r="B6" s="28" t="s">
        <v>16</v>
      </c>
      <c r="C6" s="29">
        <v>1357</v>
      </c>
      <c r="D6" s="28" t="s">
        <v>51</v>
      </c>
      <c r="E6" s="28" t="s">
        <v>73</v>
      </c>
      <c r="F6" s="30">
        <v>0</v>
      </c>
      <c r="G6" s="30">
        <v>0</v>
      </c>
      <c r="H6" s="30">
        <v>0</v>
      </c>
      <c r="I6" s="28" t="s">
        <v>184</v>
      </c>
      <c r="J6" s="30">
        <v>0</v>
      </c>
      <c r="K6" s="30">
        <v>0</v>
      </c>
      <c r="L6" s="28" t="s">
        <v>95</v>
      </c>
    </row>
    <row r="7" spans="1:12">
      <c r="A7" s="28" t="s">
        <v>15</v>
      </c>
      <c r="B7" s="28" t="s">
        <v>16</v>
      </c>
      <c r="C7" s="29">
        <v>1357</v>
      </c>
      <c r="D7" s="28" t="s">
        <v>51</v>
      </c>
      <c r="E7" s="28" t="s">
        <v>58</v>
      </c>
      <c r="F7" s="30">
        <v>12.80621167364</v>
      </c>
      <c r="G7" s="30">
        <v>35</v>
      </c>
      <c r="H7" s="30">
        <v>-22.19378832636</v>
      </c>
      <c r="I7" s="28" t="s">
        <v>185</v>
      </c>
      <c r="J7" s="30">
        <v>-30116.970758870521</v>
      </c>
      <c r="K7" s="30">
        <v>30116.970758870521</v>
      </c>
      <c r="L7" s="28" t="s">
        <v>89</v>
      </c>
    </row>
    <row r="8" spans="1:12">
      <c r="A8" s="28" t="s">
        <v>15</v>
      </c>
      <c r="B8" s="28" t="s">
        <v>16</v>
      </c>
      <c r="C8" s="29">
        <v>1357</v>
      </c>
      <c r="D8" s="28" t="s">
        <v>51</v>
      </c>
      <c r="E8" s="28" t="s">
        <v>69</v>
      </c>
      <c r="F8" s="30">
        <v>0</v>
      </c>
      <c r="G8" s="30">
        <v>0</v>
      </c>
      <c r="H8" s="30">
        <v>0</v>
      </c>
      <c r="I8" s="28" t="s">
        <v>184</v>
      </c>
      <c r="J8" s="30">
        <v>0</v>
      </c>
      <c r="K8" s="30">
        <v>0</v>
      </c>
      <c r="L8" s="28" t="s">
        <v>95</v>
      </c>
    </row>
    <row r="9" spans="1:12">
      <c r="A9" s="31" t="s">
        <v>15</v>
      </c>
      <c r="B9" s="31" t="s">
        <v>16</v>
      </c>
      <c r="C9" s="32">
        <v>1357</v>
      </c>
      <c r="D9" s="31" t="s">
        <v>51</v>
      </c>
      <c r="E9" s="31" t="s">
        <v>96</v>
      </c>
      <c r="F9" s="33">
        <v>1293.4273790376401</v>
      </c>
      <c r="G9" s="33">
        <v>1321</v>
      </c>
      <c r="H9" s="33">
        <v>-27.57262096235991</v>
      </c>
      <c r="I9" s="31" t="s">
        <v>186</v>
      </c>
      <c r="J9" s="33">
        <v>-37416.04664592239</v>
      </c>
      <c r="K9" s="33">
        <v>37416.04664592239</v>
      </c>
      <c r="L9" s="31" t="s">
        <v>98</v>
      </c>
    </row>
  </sheetData>
  <autoFilter ref="A2:L9" xr:uid="{00000000-0009-0000-0000-00000A000000}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9"/>
  <sheetViews>
    <sheetView workbookViewId="0">
      <pane ySplit="2" topLeftCell="A3" activePane="bottomLeft" state="frozen"/>
      <selection pane="bottomLeft" activeCell="A5" sqref="A2:XFD5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187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17</v>
      </c>
      <c r="B3" s="28" t="s">
        <v>16</v>
      </c>
      <c r="C3" s="29">
        <v>5084</v>
      </c>
      <c r="D3" s="28" t="s">
        <v>51</v>
      </c>
      <c r="E3" s="28" t="s">
        <v>63</v>
      </c>
      <c r="F3" s="30">
        <v>1070</v>
      </c>
      <c r="G3" s="30">
        <v>1125</v>
      </c>
      <c r="H3" s="30">
        <v>-55</v>
      </c>
      <c r="I3" s="28" t="s">
        <v>188</v>
      </c>
      <c r="J3" s="30">
        <v>-279620</v>
      </c>
      <c r="K3" s="30">
        <v>279620</v>
      </c>
      <c r="L3" s="28" t="s">
        <v>89</v>
      </c>
    </row>
    <row r="4" spans="1:12">
      <c r="A4" s="28" t="s">
        <v>17</v>
      </c>
      <c r="B4" s="28" t="s">
        <v>16</v>
      </c>
      <c r="C4" s="29">
        <v>5084</v>
      </c>
      <c r="D4" s="28" t="s">
        <v>51</v>
      </c>
      <c r="E4" s="28" t="s">
        <v>54</v>
      </c>
      <c r="F4" s="30">
        <v>234.772727</v>
      </c>
      <c r="G4" s="30">
        <v>161</v>
      </c>
      <c r="H4" s="30">
        <v>73.772727000000003</v>
      </c>
      <c r="I4" s="28" t="s">
        <v>189</v>
      </c>
      <c r="J4" s="30">
        <v>375060.54406799999</v>
      </c>
      <c r="K4" s="30">
        <v>-375060.54406799999</v>
      </c>
      <c r="L4" s="28" t="s">
        <v>87</v>
      </c>
    </row>
    <row r="5" spans="1:12">
      <c r="A5" s="28" t="s">
        <v>17</v>
      </c>
      <c r="B5" s="28" t="s">
        <v>16</v>
      </c>
      <c r="C5" s="29">
        <v>5084</v>
      </c>
      <c r="D5" s="28" t="s">
        <v>51</v>
      </c>
      <c r="E5" s="28" t="s">
        <v>90</v>
      </c>
      <c r="F5" s="30">
        <v>21.593988631849999</v>
      </c>
      <c r="G5" s="30">
        <v>0</v>
      </c>
      <c r="H5" s="30">
        <v>21.593988631849999</v>
      </c>
      <c r="I5" s="28" t="s">
        <v>190</v>
      </c>
      <c r="J5" s="30">
        <v>109783.8382043254</v>
      </c>
      <c r="K5" s="30">
        <v>-109783.8382043254</v>
      </c>
      <c r="L5" s="28" t="s">
        <v>87</v>
      </c>
    </row>
    <row r="6" spans="1:12">
      <c r="A6" s="28" t="s">
        <v>17</v>
      </c>
      <c r="B6" s="28" t="s">
        <v>16</v>
      </c>
      <c r="C6" s="29">
        <v>5084</v>
      </c>
      <c r="D6" s="28" t="s">
        <v>51</v>
      </c>
      <c r="E6" s="28" t="s">
        <v>73</v>
      </c>
      <c r="F6" s="30">
        <v>0</v>
      </c>
      <c r="G6" s="30">
        <v>0</v>
      </c>
      <c r="H6" s="30">
        <v>0</v>
      </c>
      <c r="I6" s="28" t="s">
        <v>191</v>
      </c>
      <c r="J6" s="30">
        <v>0</v>
      </c>
      <c r="K6" s="30">
        <v>0</v>
      </c>
      <c r="L6" s="28" t="s">
        <v>95</v>
      </c>
    </row>
    <row r="7" spans="1:12">
      <c r="A7" s="28" t="s">
        <v>17</v>
      </c>
      <c r="B7" s="28" t="s">
        <v>16</v>
      </c>
      <c r="C7" s="29">
        <v>5084</v>
      </c>
      <c r="D7" s="28" t="s">
        <v>51</v>
      </c>
      <c r="E7" s="28" t="s">
        <v>58</v>
      </c>
      <c r="F7" s="30">
        <v>0</v>
      </c>
      <c r="G7" s="30">
        <v>35</v>
      </c>
      <c r="H7" s="30">
        <v>-35</v>
      </c>
      <c r="I7" s="28" t="s">
        <v>192</v>
      </c>
      <c r="J7" s="30">
        <v>-177940</v>
      </c>
      <c r="K7" s="30">
        <v>177940</v>
      </c>
      <c r="L7" s="28" t="s">
        <v>89</v>
      </c>
    </row>
    <row r="8" spans="1:12">
      <c r="A8" s="28" t="s">
        <v>17</v>
      </c>
      <c r="B8" s="28" t="s">
        <v>16</v>
      </c>
      <c r="C8" s="29">
        <v>5084</v>
      </c>
      <c r="D8" s="28" t="s">
        <v>51</v>
      </c>
      <c r="E8" s="28" t="s">
        <v>69</v>
      </c>
      <c r="F8" s="30">
        <v>0</v>
      </c>
      <c r="G8" s="30">
        <v>0</v>
      </c>
      <c r="H8" s="30">
        <v>0</v>
      </c>
      <c r="I8" s="28" t="s">
        <v>191</v>
      </c>
      <c r="J8" s="30">
        <v>0</v>
      </c>
      <c r="K8" s="30">
        <v>0</v>
      </c>
      <c r="L8" s="28" t="s">
        <v>95</v>
      </c>
    </row>
    <row r="9" spans="1:12">
      <c r="A9" s="38" t="s">
        <v>17</v>
      </c>
      <c r="B9" s="38" t="s">
        <v>16</v>
      </c>
      <c r="C9" s="39">
        <v>5084</v>
      </c>
      <c r="D9" s="38" t="s">
        <v>51</v>
      </c>
      <c r="E9" s="38" t="s">
        <v>96</v>
      </c>
      <c r="F9" s="40">
        <v>1326.36671563185</v>
      </c>
      <c r="G9" s="40">
        <v>1321</v>
      </c>
      <c r="H9" s="40">
        <v>5.3667156318499556</v>
      </c>
      <c r="I9" s="38" t="s">
        <v>193</v>
      </c>
      <c r="J9" s="40">
        <v>27284.38227232518</v>
      </c>
      <c r="K9" s="40">
        <v>-27284.38227232518</v>
      </c>
      <c r="L9" s="38" t="s">
        <v>179</v>
      </c>
    </row>
  </sheetData>
  <autoFilter ref="A2:L9" xr:uid="{00000000-0009-0000-0000-00000B000000}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0"/>
  <sheetViews>
    <sheetView workbookViewId="0">
      <pane ySplit="2" topLeftCell="A3" activePane="bottomLeft" state="frozen"/>
      <selection pane="bottomLeft" activeCell="D9" sqref="D9"/>
    </sheetView>
  </sheetViews>
  <sheetFormatPr defaultRowHeight="14.45"/>
  <cols>
    <col min="1" max="1" width="20" customWidth="1"/>
    <col min="2" max="2" width="29" customWidth="1"/>
    <col min="3" max="3" width="12" customWidth="1"/>
    <col min="4" max="4" width="27" customWidth="1"/>
    <col min="5" max="5" width="28" customWidth="1"/>
    <col min="6" max="6" width="21" customWidth="1"/>
    <col min="7" max="7" width="13" customWidth="1"/>
    <col min="8" max="8" width="27" customWidth="1"/>
    <col min="9" max="9" width="34" customWidth="1"/>
    <col min="10" max="10" width="31" customWidth="1"/>
    <col min="11" max="11" width="35" customWidth="1"/>
    <col min="12" max="12" width="29" customWidth="1"/>
  </cols>
  <sheetData>
    <row r="1" spans="1:12" ht="24.95" customHeight="1">
      <c r="A1" s="22" t="s">
        <v>194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60" customHeight="1">
      <c r="A2" s="27" t="s">
        <v>29</v>
      </c>
      <c r="B2" s="27" t="s">
        <v>30</v>
      </c>
      <c r="C2" s="27" t="s">
        <v>2</v>
      </c>
      <c r="D2" s="27" t="s">
        <v>34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83</v>
      </c>
      <c r="K2" s="27" t="s">
        <v>84</v>
      </c>
      <c r="L2" s="27" t="s">
        <v>85</v>
      </c>
    </row>
    <row r="3" spans="1:12">
      <c r="A3" s="28" t="s">
        <v>21</v>
      </c>
      <c r="B3" s="28" t="s">
        <v>22</v>
      </c>
      <c r="C3" s="29">
        <v>1281</v>
      </c>
      <c r="D3" s="28" t="s">
        <v>18</v>
      </c>
      <c r="E3" s="28" t="s">
        <v>63</v>
      </c>
      <c r="F3" s="30">
        <v>1131.8</v>
      </c>
      <c r="G3" s="30">
        <v>1051</v>
      </c>
      <c r="H3" s="30">
        <v>80.799999999999955</v>
      </c>
      <c r="I3" s="28" t="s">
        <v>195</v>
      </c>
      <c r="J3" s="30">
        <v>103504.7999999999</v>
      </c>
      <c r="K3" s="30">
        <v>-103504.7999999999</v>
      </c>
      <c r="L3" s="28" t="s">
        <v>87</v>
      </c>
    </row>
    <row r="4" spans="1:12">
      <c r="A4" s="28" t="s">
        <v>21</v>
      </c>
      <c r="B4" s="28" t="s">
        <v>22</v>
      </c>
      <c r="C4" s="29">
        <v>1281</v>
      </c>
      <c r="D4" s="28" t="s">
        <v>18</v>
      </c>
      <c r="E4" s="28" t="s">
        <v>54</v>
      </c>
      <c r="F4" s="30">
        <v>40.636363636363633</v>
      </c>
      <c r="G4" s="30">
        <v>319.48</v>
      </c>
      <c r="H4" s="30">
        <v>-278.84363636363639</v>
      </c>
      <c r="I4" s="28" t="s">
        <v>196</v>
      </c>
      <c r="J4" s="30">
        <v>-357198.69818181818</v>
      </c>
      <c r="K4" s="30">
        <v>357198.69818181818</v>
      </c>
      <c r="L4" s="28" t="s">
        <v>89</v>
      </c>
    </row>
    <row r="5" spans="1:12">
      <c r="A5" s="28" t="s">
        <v>21</v>
      </c>
      <c r="B5" s="28" t="s">
        <v>22</v>
      </c>
      <c r="C5" s="29">
        <v>1281</v>
      </c>
      <c r="D5" s="28" t="s">
        <v>18</v>
      </c>
      <c r="E5" s="28" t="s">
        <v>90</v>
      </c>
      <c r="F5" s="30">
        <v>4.6897454545454549</v>
      </c>
      <c r="G5" s="30">
        <v>0</v>
      </c>
      <c r="H5" s="30">
        <v>4.6897454545454549</v>
      </c>
      <c r="I5" s="28" t="s">
        <v>197</v>
      </c>
      <c r="J5" s="30">
        <v>6007.5639272727276</v>
      </c>
      <c r="K5" s="30">
        <v>-6007.5639272727276</v>
      </c>
      <c r="L5" s="28" t="s">
        <v>87</v>
      </c>
    </row>
    <row r="6" spans="1:12">
      <c r="A6" s="28" t="s">
        <v>21</v>
      </c>
      <c r="B6" s="28" t="s">
        <v>22</v>
      </c>
      <c r="C6" s="29">
        <v>1281</v>
      </c>
      <c r="D6" s="28" t="s">
        <v>18</v>
      </c>
      <c r="E6" s="28" t="s">
        <v>73</v>
      </c>
      <c r="F6" s="30">
        <v>35.313783272727271</v>
      </c>
      <c r="G6" s="30">
        <v>0</v>
      </c>
      <c r="H6" s="30">
        <v>35.313783272727271</v>
      </c>
      <c r="I6" s="28" t="s">
        <v>198</v>
      </c>
      <c r="J6" s="30">
        <v>45236.956372363631</v>
      </c>
      <c r="K6" s="30">
        <v>-45236.956372363631</v>
      </c>
      <c r="L6" s="28" t="s">
        <v>87</v>
      </c>
    </row>
    <row r="7" spans="1:12">
      <c r="A7" s="28" t="s">
        <v>21</v>
      </c>
      <c r="B7" s="28" t="s">
        <v>22</v>
      </c>
      <c r="C7" s="29">
        <v>1281</v>
      </c>
      <c r="D7" s="28" t="s">
        <v>18</v>
      </c>
      <c r="E7" s="28" t="s">
        <v>58</v>
      </c>
      <c r="F7" s="30">
        <v>2.3542522181818182</v>
      </c>
      <c r="G7" s="30">
        <v>171.45193599999999</v>
      </c>
      <c r="H7" s="30">
        <v>-169.0976837818182</v>
      </c>
      <c r="I7" s="28" t="s">
        <v>199</v>
      </c>
      <c r="J7" s="30">
        <v>-216614.13292450909</v>
      </c>
      <c r="K7" s="30">
        <v>216614.13292450909</v>
      </c>
      <c r="L7" s="28" t="s">
        <v>89</v>
      </c>
    </row>
    <row r="8" spans="1:12">
      <c r="A8" s="28" t="s">
        <v>21</v>
      </c>
      <c r="B8" s="28" t="s">
        <v>22</v>
      </c>
      <c r="C8" s="29">
        <v>1281</v>
      </c>
      <c r="D8" s="28" t="s">
        <v>18</v>
      </c>
      <c r="E8" s="28" t="s">
        <v>69</v>
      </c>
      <c r="F8" s="30">
        <v>0</v>
      </c>
      <c r="G8" s="30">
        <v>50</v>
      </c>
      <c r="H8" s="30">
        <v>-50</v>
      </c>
      <c r="I8" s="28" t="s">
        <v>200</v>
      </c>
      <c r="J8" s="30">
        <v>-64050</v>
      </c>
      <c r="K8" s="30">
        <v>64050</v>
      </c>
      <c r="L8" s="28" t="s">
        <v>89</v>
      </c>
    </row>
    <row r="9" spans="1:12" ht="29.1">
      <c r="A9" s="34" t="s">
        <v>21</v>
      </c>
      <c r="B9" s="34" t="s">
        <v>22</v>
      </c>
      <c r="C9" s="35">
        <v>1281</v>
      </c>
      <c r="D9" s="34" t="s">
        <v>18</v>
      </c>
      <c r="E9" s="34" t="s">
        <v>130</v>
      </c>
      <c r="F9" s="36"/>
      <c r="G9" s="36"/>
      <c r="H9" s="36">
        <v>3.5999999909108737E-5</v>
      </c>
      <c r="I9" s="34" t="s">
        <v>201</v>
      </c>
      <c r="J9" s="36">
        <v>4.6115999883568293E-2</v>
      </c>
      <c r="K9" s="36">
        <v>-4.6115999883568293E-2</v>
      </c>
      <c r="L9" s="34" t="s">
        <v>132</v>
      </c>
    </row>
    <row r="10" spans="1:12">
      <c r="A10" s="31" t="s">
        <v>21</v>
      </c>
      <c r="B10" s="31" t="s">
        <v>22</v>
      </c>
      <c r="C10" s="32">
        <v>1281</v>
      </c>
      <c r="D10" s="31" t="s">
        <v>18</v>
      </c>
      <c r="E10" s="31" t="s">
        <v>96</v>
      </c>
      <c r="F10" s="33">
        <v>1214.794144581818</v>
      </c>
      <c r="G10" s="33">
        <v>1591.9319</v>
      </c>
      <c r="H10" s="33">
        <v>-377.137755418182</v>
      </c>
      <c r="I10" s="31" t="s">
        <v>202</v>
      </c>
      <c r="J10" s="33">
        <v>-483113.46469069121</v>
      </c>
      <c r="K10" s="33">
        <v>483113.46469069121</v>
      </c>
      <c r="L10" s="31" t="s">
        <v>98</v>
      </c>
    </row>
  </sheetData>
  <autoFilter ref="A2:L10" xr:uid="{00000000-0009-0000-0000-00000C000000}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Yajas, Menon(Global-V)</dc:creator>
  <cp:keywords/>
  <dc:description/>
  <cp:lastModifiedBy/>
  <cp:revision/>
  <dcterms:created xsi:type="dcterms:W3CDTF">2026-09-22T06:21:32Z</dcterms:created>
  <dcterms:modified xsi:type="dcterms:W3CDTF">2026-09-22T12:57:44Z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2026-09-22T06:32:34Z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f5372828-8335-4b90-9518-b1bf692553c7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