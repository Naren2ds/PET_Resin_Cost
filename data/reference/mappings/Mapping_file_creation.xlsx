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mapping files/"/>
    </mc:Choice>
  </mc:AlternateContent>
  <xr:revisionPtr revIDLastSave="42" documentId="8_{2F4C2271-9FD0-4823-A536-7C0DF1035B12}" xr6:coauthVersionLast="47" xr6:coauthVersionMax="47" xr10:uidLastSave="{A4284AE0-840D-4E73-B679-458F9305228F}"/>
  <bookViews>
    <workbookView xWindow="-110" yWindow="-110" windowWidth="19420" windowHeight="11500" xr2:uid="{41A04089-5457-46D3-BC85-53D532253AD8}"/>
  </bookViews>
  <sheets>
    <sheet name="Summary " sheetId="1" r:id="rId1"/>
    <sheet name="Bavaria" sheetId="2" r:id="rId2"/>
    <sheet name="3 Precios AB Inbev_Abril 26 ECU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</calcChain>
</file>

<file path=xl/sharedStrings.xml><?xml version="1.0" encoding="utf-8"?>
<sst xmlns="http://schemas.openxmlformats.org/spreadsheetml/2006/main" count="83" uniqueCount="46">
  <si>
    <t>vPET Resin pricing adjustment formula</t>
  </si>
  <si>
    <t>V1</t>
  </si>
  <si>
    <t>Bavaria</t>
  </si>
  <si>
    <t>Index</t>
  </si>
  <si>
    <t>Resin Index vPET</t>
  </si>
  <si>
    <t>Freight</t>
  </si>
  <si>
    <t xml:space="preserve">Freight </t>
  </si>
  <si>
    <t xml:space="preserve">Insurance </t>
  </si>
  <si>
    <t>Tax</t>
  </si>
  <si>
    <t>Import Tax</t>
  </si>
  <si>
    <t>Customs clearance</t>
  </si>
  <si>
    <t xml:space="preserve">Other costs </t>
  </si>
  <si>
    <t>Sub Total  (CIF)</t>
  </si>
  <si>
    <t>Scrap</t>
  </si>
  <si>
    <t>others</t>
  </si>
  <si>
    <t xml:space="preserve">Total Landing Cost </t>
  </si>
  <si>
    <t>Internalization cost</t>
  </si>
  <si>
    <t xml:space="preserve">Internalization </t>
  </si>
  <si>
    <t>Others</t>
  </si>
  <si>
    <t>metric_local</t>
  </si>
  <si>
    <t xml:space="preserve">Mapping Columns </t>
  </si>
  <si>
    <t xml:space="preserve">ICIS China MID (n-1). </t>
  </si>
  <si>
    <t>Finance</t>
  </si>
  <si>
    <t>Freight China-Buenaventura (reg)</t>
  </si>
  <si>
    <t>Freight China-Buenaventura (Incr)</t>
  </si>
  <si>
    <t>Sub total (con flete Inc)</t>
  </si>
  <si>
    <t>Sub total (con flete reg)</t>
  </si>
  <si>
    <t>Duty 5% (Cambio de acuerdo a la regulación)</t>
  </si>
  <si>
    <t>Landed factor 8%</t>
  </si>
  <si>
    <t xml:space="preserve">Cambio legislacion ZF </t>
  </si>
  <si>
    <t>Sur Charge Alpek Br</t>
  </si>
  <si>
    <t>Total resin price ABI Fórmula VIRGEN</t>
  </si>
  <si>
    <t>metric_en</t>
  </si>
  <si>
    <t>ICIS China Mid (n-2)</t>
  </si>
  <si>
    <t>Finance Fee V (SOFR +3.8%@175)</t>
  </si>
  <si>
    <t>0.10% of CIF Value</t>
  </si>
  <si>
    <t>Foreign Currency Exit Tax 4% of CIF Value</t>
  </si>
  <si>
    <t>0.5% of CIF Value</t>
  </si>
  <si>
    <t>282 USD/Container Customs</t>
  </si>
  <si>
    <t>Port Storage - USD250/Container</t>
  </si>
  <si>
    <t>Freight GYE - UIO USD671/Container</t>
  </si>
  <si>
    <t>Shipping Exp. &amp; Container Return - UIO USD430/Container</t>
  </si>
  <si>
    <t>Fixed Value per BL &amp; +30 if Physical Inspection</t>
  </si>
  <si>
    <t>Customs Clearance Fixed: 36.02/ton</t>
  </si>
  <si>
    <t>Government Diesel Surcharge</t>
  </si>
  <si>
    <t>Landed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</si>
</sst>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</xdr:colOff>
      <xdr:row>20</xdr:row>
      <xdr:rowOff>57150</xdr:rowOff>
    </xdr:from>
    <xdr:to>
      <xdr:col>8</xdr:col>
      <xdr:colOff>584614</xdr:colOff>
      <xdr:row>21</xdr:row>
      <xdr:rowOff>177816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7B17DD-63D5-A825-225B-01E85069A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0" y="3740150"/>
          <a:ext cx="8064914" cy="304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7B9A-6DC7-4DAD-BBF3-B26A54F4259F}">
  <dimension ref="D6:H16"/>
  <sheetViews>
    <sheetView tabSelected="1" topLeftCell="A4" workbookViewId="0">
      <selection activeCell="D9" sqref="D9"/>
    </sheetView>
  </sheetViews>
  <sheetFormatPr defaultRowHeight="14.45"/>
  <cols>
    <col min="4" max="4" width="33.42578125" bestFit="1" customWidth="1"/>
    <col min="5" max="5" width="20.42578125" customWidth="1"/>
    <col min="6" max="6" width="17.140625" bestFit="1" customWidth="1"/>
    <col min="7" max="7" width="21.5703125" customWidth="1"/>
  </cols>
  <sheetData>
    <row r="6" spans="4:8">
      <c r="D6" s="1" t="s">
        <v>0</v>
      </c>
      <c r="E6" s="3" t="s">
        <v>1</v>
      </c>
      <c r="F6" s="4" t="s">
        <v>2</v>
      </c>
    </row>
    <row r="7" spans="4:8">
      <c r="D7" s="1" t="s">
        <v>3</v>
      </c>
      <c r="E7" t="s">
        <v>4</v>
      </c>
      <c r="F7" t="s">
        <v>4</v>
      </c>
    </row>
    <row r="8" spans="4:8">
      <c r="D8" s="1" t="s">
        <v>5</v>
      </c>
      <c r="E8" t="s">
        <v>6</v>
      </c>
      <c r="F8" t="s">
        <v>7</v>
      </c>
    </row>
    <row r="9" spans="4:8">
      <c r="D9" s="1" t="s">
        <v>8</v>
      </c>
      <c r="E9" t="s">
        <v>9</v>
      </c>
      <c r="F9" t="s">
        <v>6</v>
      </c>
    </row>
    <row r="10" spans="4:8">
      <c r="D10" s="1" t="s">
        <v>10</v>
      </c>
      <c r="E10" t="s">
        <v>11</v>
      </c>
      <c r="F10" t="s">
        <v>12</v>
      </c>
    </row>
    <row r="11" spans="4:8">
      <c r="D11" s="1" t="s">
        <v>13</v>
      </c>
      <c r="E11" t="s">
        <v>11</v>
      </c>
      <c r="F11" t="s">
        <v>8</v>
      </c>
    </row>
    <row r="12" spans="4:8">
      <c r="D12" s="1" t="s">
        <v>14</v>
      </c>
      <c r="E12" t="s">
        <v>11</v>
      </c>
      <c r="F12" t="s">
        <v>15</v>
      </c>
    </row>
    <row r="13" spans="4:8">
      <c r="D13" s="1" t="s">
        <v>16</v>
      </c>
      <c r="E13" t="s">
        <v>17</v>
      </c>
      <c r="F13" t="s">
        <v>9</v>
      </c>
      <c r="H13">
        <v>1600</v>
      </c>
    </row>
    <row r="14" spans="4:8">
      <c r="D14" s="2" t="s">
        <v>18</v>
      </c>
      <c r="E14" t="s">
        <v>11</v>
      </c>
      <c r="F14" t="s">
        <v>11</v>
      </c>
      <c r="H14">
        <f>H13/1000000</f>
        <v>1.6000000000000001E-3</v>
      </c>
    </row>
    <row r="15" spans="4:8">
      <c r="F15" t="s">
        <v>17</v>
      </c>
    </row>
    <row r="16" spans="4:8">
      <c r="F16" s="1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64D9-A280-4930-AC28-F0A751D0D85F}">
  <dimension ref="A1:B12"/>
  <sheetViews>
    <sheetView workbookViewId="0">
      <selection activeCell="B1" sqref="B1"/>
    </sheetView>
  </sheetViews>
  <sheetFormatPr defaultRowHeight="14.45"/>
  <cols>
    <col min="1" max="1" width="37.28515625" bestFit="1" customWidth="1"/>
    <col min="2" max="2" width="16.140625" bestFit="1" customWidth="1"/>
  </cols>
  <sheetData>
    <row r="1" spans="1:2">
      <c r="A1" s="5" t="s">
        <v>19</v>
      </c>
      <c r="B1" s="5" t="s">
        <v>20</v>
      </c>
    </row>
    <row r="2" spans="1:2">
      <c r="A2" t="s">
        <v>21</v>
      </c>
      <c r="B2" t="s">
        <v>4</v>
      </c>
    </row>
    <row r="3" spans="1:2">
      <c r="A3" t="s">
        <v>22</v>
      </c>
      <c r="B3" t="s">
        <v>7</v>
      </c>
    </row>
    <row r="4" spans="1:2">
      <c r="A4" t="s">
        <v>23</v>
      </c>
      <c r="B4" t="s">
        <v>6</v>
      </c>
    </row>
    <row r="5" spans="1:2">
      <c r="A5" t="s">
        <v>24</v>
      </c>
      <c r="B5" t="s">
        <v>6</v>
      </c>
    </row>
    <row r="6" spans="1:2">
      <c r="A6" t="s">
        <v>25</v>
      </c>
      <c r="B6" t="s">
        <v>12</v>
      </c>
    </row>
    <row r="7" spans="1:2">
      <c r="A7" t="s">
        <v>26</v>
      </c>
      <c r="B7" t="s">
        <v>12</v>
      </c>
    </row>
    <row r="8" spans="1:2">
      <c r="A8" t="s">
        <v>27</v>
      </c>
      <c r="B8" t="s">
        <v>8</v>
      </c>
    </row>
    <row r="9" spans="1:2">
      <c r="A9" t="s">
        <v>28</v>
      </c>
      <c r="B9" t="s">
        <v>8</v>
      </c>
    </row>
    <row r="10" spans="1:2">
      <c r="A10" t="s">
        <v>29</v>
      </c>
      <c r="B10" t="s">
        <v>8</v>
      </c>
    </row>
    <row r="11" spans="1:2">
      <c r="A11" t="s">
        <v>30</v>
      </c>
      <c r="B11" t="s">
        <v>8</v>
      </c>
    </row>
    <row r="12" spans="1:2">
      <c r="A12" t="s">
        <v>31</v>
      </c>
      <c r="B1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9743-A92F-4396-8E72-AC842224F022}">
  <dimension ref="A1:B15"/>
  <sheetViews>
    <sheetView workbookViewId="0">
      <selection activeCell="E11" sqref="E11"/>
    </sheetView>
  </sheetViews>
  <sheetFormatPr defaultRowHeight="14.45"/>
  <cols>
    <col min="1" max="1" width="50" bestFit="1" customWidth="1"/>
    <col min="2" max="2" width="17.140625" bestFit="1" customWidth="1"/>
  </cols>
  <sheetData>
    <row r="1" spans="1:2">
      <c r="A1" s="6" t="s">
        <v>32</v>
      </c>
      <c r="B1" s="6" t="s">
        <v>20</v>
      </c>
    </row>
    <row r="2" spans="1:2">
      <c r="A2" t="s">
        <v>33</v>
      </c>
      <c r="B2" t="s">
        <v>4</v>
      </c>
    </row>
    <row r="3" spans="1:2">
      <c r="A3" t="s">
        <v>6</v>
      </c>
      <c r="B3" t="s">
        <v>6</v>
      </c>
    </row>
    <row r="4" spans="1:2">
      <c r="A4" t="s">
        <v>34</v>
      </c>
      <c r="B4" t="s">
        <v>7</v>
      </c>
    </row>
    <row r="5" spans="1:2">
      <c r="A5" t="s">
        <v>35</v>
      </c>
      <c r="B5" t="s">
        <v>8</v>
      </c>
    </row>
    <row r="6" spans="1:2">
      <c r="A6" t="s">
        <v>36</v>
      </c>
      <c r="B6" t="s">
        <v>8</v>
      </c>
    </row>
    <row r="7" spans="1:2">
      <c r="A7" t="s">
        <v>37</v>
      </c>
      <c r="B7" t="s">
        <v>10</v>
      </c>
    </row>
    <row r="8" spans="1:2">
      <c r="A8" t="s">
        <v>38</v>
      </c>
      <c r="B8" t="s">
        <v>10</v>
      </c>
    </row>
    <row r="9" spans="1:2">
      <c r="A9" t="s">
        <v>39</v>
      </c>
      <c r="B9" t="s">
        <v>10</v>
      </c>
    </row>
    <row r="10" spans="1:2">
      <c r="A10" t="s">
        <v>40</v>
      </c>
      <c r="B10" t="s">
        <v>10</v>
      </c>
    </row>
    <row r="11" spans="1:2">
      <c r="A11" t="s">
        <v>41</v>
      </c>
      <c r="B11" t="s">
        <v>10</v>
      </c>
    </row>
    <row r="12" spans="1:2">
      <c r="A12" t="s">
        <v>42</v>
      </c>
      <c r="B12" t="s">
        <v>10</v>
      </c>
    </row>
    <row r="13" spans="1:2">
      <c r="A13" t="s">
        <v>43</v>
      </c>
      <c r="B13" t="s">
        <v>10</v>
      </c>
    </row>
    <row r="14" spans="1:2">
      <c r="A14" t="s">
        <v>44</v>
      </c>
      <c r="B14" t="s">
        <v>10</v>
      </c>
    </row>
    <row r="15" spans="1:2">
      <c r="A15" t="s">
        <v>45</v>
      </c>
      <c r="B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Murugan Narendhra Kumar</dc:creator>
  <cp:keywords/>
  <dc:description/>
  <cp:lastModifiedBy>Yajas, Menon(Global-V)</cp:lastModifiedBy>
  <cp:revision/>
  <dcterms:created xsi:type="dcterms:W3CDTF">2026-05-12T12:26:42Z</dcterms:created>
  <dcterms:modified xsi:type="dcterms:W3CDTF">2026-05-18T13:11:03Z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2026-05-12T13:23:17Z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bbc683d2-2883-446b-9317-4f6e9953d465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